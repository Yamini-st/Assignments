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21f29f555011b/Desktop/DATA ANALYTICS/Assignments/Excel/"/>
    </mc:Choice>
  </mc:AlternateContent>
  <xr:revisionPtr revIDLastSave="0" documentId="8_{7BFBE01D-4944-4208-80BB-AC9AE5450EDC}" xr6:coauthVersionLast="47" xr6:coauthVersionMax="47" xr10:uidLastSave="{00000000-0000-0000-0000-000000000000}"/>
  <bookViews>
    <workbookView xWindow="-110" yWindow="-110" windowWidth="19420" windowHeight="10300" activeTab="4" xr2:uid="{4BAFB12D-61E4-4705-BF51-9B424F65604F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2" i="5"/>
  <c r="G3" i="4"/>
  <c r="G4" i="4"/>
  <c r="G5" i="4"/>
  <c r="G2" i="4"/>
  <c r="H3" i="3"/>
  <c r="H2" i="3"/>
  <c r="G2" i="2"/>
  <c r="G5" i="1" a="1"/>
  <c r="G5" i="1" s="1"/>
  <c r="G3" i="1" a="1"/>
  <c r="G3" i="1" s="1"/>
  <c r="G4" i="1" a="1"/>
  <c r="G4" i="1" s="1"/>
  <c r="G6" i="1" a="1"/>
  <c r="G6" i="1" s="1"/>
  <c r="G2" i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<sst xmlns="http://schemas.openxmlformats.org/spreadsheetml/2006/main" count="175" uniqueCount="135">
  <si>
    <t>Product ID</t>
  </si>
  <si>
    <t>Name</t>
  </si>
  <si>
    <t>Category</t>
  </si>
  <si>
    <t>Price</t>
  </si>
  <si>
    <t>FP1001</t>
  </si>
  <si>
    <t>iPhone 15</t>
  </si>
  <si>
    <t>Mobiles</t>
  </si>
  <si>
    <t>FP1002</t>
  </si>
  <si>
    <t>Samsung Galaxy S24</t>
  </si>
  <si>
    <t>FP1003</t>
  </si>
  <si>
    <t>OnePlus 12</t>
  </si>
  <si>
    <t>FP1004</t>
  </si>
  <si>
    <t>HP Pavilion Laptop</t>
  </si>
  <si>
    <t>Laptops</t>
  </si>
  <si>
    <t>FP1005</t>
  </si>
  <si>
    <t>Lenovo IdeaPad</t>
  </si>
  <si>
    <t>FP1006</t>
  </si>
  <si>
    <t>boAt Headphones</t>
  </si>
  <si>
    <t>Audio</t>
  </si>
  <si>
    <t>FP1007</t>
  </si>
  <si>
    <t>JBL Speaker</t>
  </si>
  <si>
    <t>FP1008</t>
  </si>
  <si>
    <t>Sony Bravia TV</t>
  </si>
  <si>
    <t>Electronics</t>
  </si>
  <si>
    <t>FP1009</t>
  </si>
  <si>
    <t>Canon Camera</t>
  </si>
  <si>
    <t>Cameras</t>
  </si>
  <si>
    <t>FP1010</t>
  </si>
  <si>
    <t>Logitech Mouse</t>
  </si>
  <si>
    <t>Accessories</t>
  </si>
  <si>
    <t>Product Name</t>
  </si>
  <si>
    <t>Order ID</t>
  </si>
  <si>
    <t>Restaurant Name</t>
  </si>
  <si>
    <t>Order Date</t>
  </si>
  <si>
    <t>Amount</t>
  </si>
  <si>
    <t>ZM1001</t>
  </si>
  <si>
    <t>Honest</t>
  </si>
  <si>
    <t>ZM1002</t>
  </si>
  <si>
    <t>Domino's</t>
  </si>
  <si>
    <t>ZM1003</t>
  </si>
  <si>
    <t>ZM1004</t>
  </si>
  <si>
    <t>Pizza Hut</t>
  </si>
  <si>
    <t>ZM1005</t>
  </si>
  <si>
    <t>ZM1006</t>
  </si>
  <si>
    <t>ZM1007</t>
  </si>
  <si>
    <t>ZM1008</t>
  </si>
  <si>
    <t>ZM1009</t>
  </si>
  <si>
    <t>ZM1010</t>
  </si>
  <si>
    <t>Restaurant</t>
  </si>
  <si>
    <t>Last Order Amount</t>
  </si>
  <si>
    <t>Playlist Name</t>
  </si>
  <si>
    <t>Genre</t>
  </si>
  <si>
    <t>Created By</t>
  </si>
  <si>
    <t>Number of Songs</t>
  </si>
  <si>
    <t>Chill Vibes</t>
  </si>
  <si>
    <t>Pop</t>
  </si>
  <si>
    <t>Anjali</t>
  </si>
  <si>
    <t>Bollywood Beats</t>
  </si>
  <si>
    <t>Bollywood</t>
  </si>
  <si>
    <t>Ravi</t>
  </si>
  <si>
    <t>Workout Mix</t>
  </si>
  <si>
    <t>Fitness</t>
  </si>
  <si>
    <t>Priya</t>
  </si>
  <si>
    <t>Indie Discoveries</t>
  </si>
  <si>
    <t>Indie</t>
  </si>
  <si>
    <t>Arjun</t>
  </si>
  <si>
    <t>Lo-Fi Nights</t>
  </si>
  <si>
    <t>Lo-Fi</t>
  </si>
  <si>
    <t>Neha</t>
  </si>
  <si>
    <t>Rock Classics</t>
  </si>
  <si>
    <t>Rock</t>
  </si>
  <si>
    <t>Karan</t>
  </si>
  <si>
    <t>Party Hits</t>
  </si>
  <si>
    <t>Dance</t>
  </si>
  <si>
    <t>Riya</t>
  </si>
  <si>
    <t>Acoustic Mornings</t>
  </si>
  <si>
    <t>Acoustic</t>
  </si>
  <si>
    <t>Sameer</t>
  </si>
  <si>
    <t>Sufi</t>
  </si>
  <si>
    <t>Booking ID</t>
  </si>
  <si>
    <t>Passenger Name</t>
  </si>
  <si>
    <t>Train Number</t>
  </si>
  <si>
    <t>Status</t>
  </si>
  <si>
    <t>IR1001</t>
  </si>
  <si>
    <t>Rahul Sharma</t>
  </si>
  <si>
    <t>Confirmed</t>
  </si>
  <si>
    <t>IR1002</t>
  </si>
  <si>
    <t>Priya Patel</t>
  </si>
  <si>
    <t>Waiting</t>
  </si>
  <si>
    <t>IR1003</t>
  </si>
  <si>
    <t>Ankit Singh</t>
  </si>
  <si>
    <t>IR1004</t>
  </si>
  <si>
    <t>Neha Shah</t>
  </si>
  <si>
    <t>RAC</t>
  </si>
  <si>
    <t>IR1005</t>
  </si>
  <si>
    <t>Riya Mehta</t>
  </si>
  <si>
    <t>IR1006</t>
  </si>
  <si>
    <t>Arjun Joshi</t>
  </si>
  <si>
    <t>Cancelled</t>
  </si>
  <si>
    <t>IR1007</t>
  </si>
  <si>
    <t>Kavya Rao</t>
  </si>
  <si>
    <t>IR1008</t>
  </si>
  <si>
    <t>Vishal Patel</t>
  </si>
  <si>
    <t>IR1009</t>
  </si>
  <si>
    <t>Ananya Shah</t>
  </si>
  <si>
    <t>IR1010</t>
  </si>
  <si>
    <t>Karan Mehta</t>
  </si>
  <si>
    <t>IR1011</t>
  </si>
  <si>
    <t>Simran Kaur</t>
  </si>
  <si>
    <t>IR1012</t>
  </si>
  <si>
    <t>Dev Patel</t>
  </si>
  <si>
    <t>IR10014</t>
  </si>
  <si>
    <t>Product</t>
  </si>
  <si>
    <t>Delivery Date</t>
  </si>
  <si>
    <t>MY1001</t>
  </si>
  <si>
    <t>Nike Shoes</t>
  </si>
  <si>
    <t>MY1002</t>
  </si>
  <si>
    <t>Levi's Jeans</t>
  </si>
  <si>
    <t>MY1003</t>
  </si>
  <si>
    <t>Puma T-Shirt</t>
  </si>
  <si>
    <t>MY1004</t>
  </si>
  <si>
    <t>Adidas Shoes</t>
  </si>
  <si>
    <t>MY1005</t>
  </si>
  <si>
    <t>H&amp;M Jacket</t>
  </si>
  <si>
    <t>MY1006</t>
  </si>
  <si>
    <t>Roadster Shirt</t>
  </si>
  <si>
    <t>MY1007</t>
  </si>
  <si>
    <t>HRX Track Pants</t>
  </si>
  <si>
    <t>MY1008</t>
  </si>
  <si>
    <t>Wrogn Hoodie</t>
  </si>
  <si>
    <t>MY1009</t>
  </si>
  <si>
    <t>Fastrack Watch</t>
  </si>
  <si>
    <t>MY1010</t>
  </si>
  <si>
    <t>Biba Kurta</t>
  </si>
  <si>
    <t>MY1011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</si>
</sst>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9E6C-A198-451D-A429-0A76D8222889}">
  <dimension ref="A1:G11"/>
  <sheetViews>
    <sheetView workbookViewId="0">
      <selection activeCell="G9" sqref="G9"/>
    </sheetView>
  </sheetViews>
  <sheetFormatPr defaultRowHeight="14.5" x14ac:dyDescent="0.35"/>
  <cols>
    <col min="1" max="1" width="9.54296875" bestFit="1" customWidth="1"/>
    <col min="2" max="2" width="17.453125" bestFit="1" customWidth="1"/>
    <col min="3" max="3" width="10.7265625" bestFit="1" customWidth="1"/>
    <col min="4" max="4" width="5.81640625" bestFit="1" customWidth="1"/>
    <col min="6" max="6" width="10.26953125" customWidth="1"/>
    <col min="7" max="7" width="13.5429687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4" t="s">
        <v>3</v>
      </c>
      <c r="F1" s="7" t="s">
        <v>0</v>
      </c>
      <c r="G1" s="7" t="s">
        <v>30</v>
      </c>
    </row>
    <row r="2" spans="1:7" x14ac:dyDescent="0.35">
      <c r="A2" s="5" t="s">
        <v>4</v>
      </c>
      <c r="B2" s="5" t="s">
        <v>5</v>
      </c>
      <c r="C2" s="5" t="s">
        <v>6</v>
      </c>
      <c r="D2" s="6">
        <v>69999</v>
      </c>
      <c r="F2" s="2" t="s">
        <v>9</v>
      </c>
      <c r="G2" t="str" cm="1">
        <f t="array" ref="G2">_xlfn.XLOOKUP(F2,$A$1:$A$11,$B$1:$B$11,Not Found,0,1)</f>
        <v>OnePlus 12</v>
      </c>
    </row>
    <row r="3" spans="1:7" x14ac:dyDescent="0.35">
      <c r="A3" s="5" t="s">
        <v>7</v>
      </c>
      <c r="B3" s="5" t="s">
        <v>8</v>
      </c>
      <c r="C3" s="5" t="s">
        <v>6</v>
      </c>
      <c r="D3" s="6">
        <v>74999</v>
      </c>
      <c r="F3" s="2" t="s">
        <v>19</v>
      </c>
      <c r="G3" t="str" cm="1">
        <f t="array" ref="G3">_xlfn.XLOOKUP(F3,$A$1:$A$11,$B$1:$B$11,Not Found,0,1)</f>
        <v>JBL Speaker</v>
      </c>
    </row>
    <row r="4" spans="1:7" x14ac:dyDescent="0.35">
      <c r="A4" s="5" t="s">
        <v>9</v>
      </c>
      <c r="B4" s="5" t="s">
        <v>10</v>
      </c>
      <c r="C4" s="5" t="s">
        <v>6</v>
      </c>
      <c r="D4" s="6">
        <v>64999</v>
      </c>
      <c r="F4" s="2" t="s">
        <v>4</v>
      </c>
      <c r="G4" t="str" cm="1">
        <f t="array" ref="G4">_xlfn.XLOOKUP(F4,$A$1:$A$11,$B$1:$B$11,Not Found,0,1)</f>
        <v>iPhone 15</v>
      </c>
    </row>
    <row r="5" spans="1:7" x14ac:dyDescent="0.35">
      <c r="A5" s="5" t="s">
        <v>11</v>
      </c>
      <c r="B5" s="5" t="s">
        <v>12</v>
      </c>
      <c r="C5" s="5" t="s">
        <v>13</v>
      </c>
      <c r="D5" s="6">
        <v>58999</v>
      </c>
      <c r="F5" s="2" t="s">
        <v>24</v>
      </c>
      <c r="G5" t="str" cm="1">
        <f t="array" ref="G5">_xlfn.XLOOKUP(F5,$A$1:$A$11,$B$1:$B$11,Not Found,0,1)</f>
        <v>Canon Camera</v>
      </c>
    </row>
    <row r="6" spans="1:7" x14ac:dyDescent="0.35">
      <c r="A6" s="5" t="s">
        <v>14</v>
      </c>
      <c r="B6" s="5" t="s">
        <v>15</v>
      </c>
      <c r="C6" s="5" t="s">
        <v>13</v>
      </c>
      <c r="D6" s="6">
        <v>52999</v>
      </c>
      <c r="F6" s="2" t="s">
        <v>14</v>
      </c>
      <c r="G6" t="str" cm="1">
        <f t="array" ref="G6">_xlfn.XLOOKUP(F6,$A$1:$A$11,$B$1:$B$11,Not Found,0,1)</f>
        <v>Lenovo IdeaPad</v>
      </c>
    </row>
    <row r="7" spans="1:7" x14ac:dyDescent="0.35">
      <c r="A7" s="5" t="s">
        <v>16</v>
      </c>
      <c r="B7" s="5" t="s">
        <v>17</v>
      </c>
      <c r="C7" s="5" t="s">
        <v>18</v>
      </c>
      <c r="D7" s="6">
        <v>2499</v>
      </c>
    </row>
    <row r="8" spans="1:7" x14ac:dyDescent="0.35">
      <c r="A8" s="5" t="s">
        <v>19</v>
      </c>
      <c r="B8" s="5" t="s">
        <v>20</v>
      </c>
      <c r="C8" s="5" t="s">
        <v>18</v>
      </c>
      <c r="D8" s="6">
        <v>3999</v>
      </c>
    </row>
    <row r="9" spans="1:7" x14ac:dyDescent="0.35">
      <c r="A9" s="5" t="s">
        <v>21</v>
      </c>
      <c r="B9" s="5" t="s">
        <v>22</v>
      </c>
      <c r="C9" s="5" t="s">
        <v>23</v>
      </c>
      <c r="D9" s="6">
        <v>45999</v>
      </c>
    </row>
    <row r="10" spans="1:7" x14ac:dyDescent="0.35">
      <c r="A10" s="5" t="s">
        <v>24</v>
      </c>
      <c r="B10" s="5" t="s">
        <v>25</v>
      </c>
      <c r="C10" s="5" t="s">
        <v>26</v>
      </c>
      <c r="D10" s="6">
        <v>52999</v>
      </c>
    </row>
    <row r="11" spans="1:7" x14ac:dyDescent="0.35">
      <c r="A11" s="5" t="s">
        <v>27</v>
      </c>
      <c r="B11" s="5" t="s">
        <v>28</v>
      </c>
      <c r="C11" s="5" t="s">
        <v>29</v>
      </c>
      <c r="D11" s="6">
        <v>1299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E374-A08C-405C-880F-FDA9E01398A4}">
  <dimension ref="A1:G11"/>
  <sheetViews>
    <sheetView workbookViewId="0">
      <selection activeCell="G3" sqref="G3"/>
    </sheetView>
  </sheetViews>
  <sheetFormatPr defaultRowHeight="14.5" x14ac:dyDescent="0.35"/>
  <cols>
    <col min="2" max="2" width="15.36328125" customWidth="1"/>
    <col min="3" max="3" width="10.08984375" bestFit="1" customWidth="1"/>
    <col min="6" max="6" width="9.7265625" bestFit="1" customWidth="1"/>
    <col min="7" max="7" width="16" bestFit="1" customWidth="1"/>
  </cols>
  <sheetData>
    <row r="1" spans="1:7" x14ac:dyDescent="0.35">
      <c r="A1" s="3" t="s">
        <v>31</v>
      </c>
      <c r="B1" s="3" t="s">
        <v>32</v>
      </c>
      <c r="C1" s="3" t="s">
        <v>33</v>
      </c>
      <c r="D1" s="4" t="s">
        <v>34</v>
      </c>
      <c r="F1" s="7" t="s">
        <v>48</v>
      </c>
      <c r="G1" s="7" t="s">
        <v>49</v>
      </c>
    </row>
    <row r="2" spans="1:7" x14ac:dyDescent="0.35">
      <c r="A2" s="5" t="s">
        <v>35</v>
      </c>
      <c r="B2" s="5" t="s">
        <v>36</v>
      </c>
      <c r="C2" s="10">
        <v>46235</v>
      </c>
      <c r="D2" s="6">
        <v>850</v>
      </c>
      <c r="F2" t="s">
        <v>36</v>
      </c>
      <c r="G2">
        <f>_xlfn.XLOOKUP(F2,B2:B11,$D$2:$D$11,"Not Found",0,-1)</f>
        <v>1400</v>
      </c>
    </row>
    <row r="3" spans="1:7" x14ac:dyDescent="0.35">
      <c r="A3" s="5" t="s">
        <v>37</v>
      </c>
      <c r="B3" s="5" t="s">
        <v>38</v>
      </c>
      <c r="C3" s="10">
        <v>46236</v>
      </c>
      <c r="D3" s="6">
        <v>620</v>
      </c>
    </row>
    <row r="4" spans="1:7" x14ac:dyDescent="0.35">
      <c r="A4" s="5" t="s">
        <v>39</v>
      </c>
      <c r="B4" s="5" t="s">
        <v>36</v>
      </c>
      <c r="C4" s="10">
        <v>46237</v>
      </c>
      <c r="D4" s="6">
        <v>1200</v>
      </c>
    </row>
    <row r="5" spans="1:7" x14ac:dyDescent="0.35">
      <c r="A5" s="5" t="s">
        <v>40</v>
      </c>
      <c r="B5" s="5" t="s">
        <v>41</v>
      </c>
      <c r="C5" s="10">
        <v>46238</v>
      </c>
      <c r="D5" s="6">
        <v>780</v>
      </c>
    </row>
    <row r="6" spans="1:7" x14ac:dyDescent="0.35">
      <c r="A6" s="5" t="s">
        <v>42</v>
      </c>
      <c r="B6" s="5" t="s">
        <v>36</v>
      </c>
      <c r="C6" s="10">
        <v>46239</v>
      </c>
      <c r="D6" s="6">
        <v>950</v>
      </c>
    </row>
    <row r="7" spans="1:7" x14ac:dyDescent="0.35">
      <c r="A7" s="5" t="s">
        <v>43</v>
      </c>
      <c r="B7" s="5" t="s">
        <v>38</v>
      </c>
      <c r="C7" s="10">
        <v>46240</v>
      </c>
      <c r="D7" s="6">
        <v>1100</v>
      </c>
    </row>
    <row r="8" spans="1:7" x14ac:dyDescent="0.35">
      <c r="A8" s="5" t="s">
        <v>44</v>
      </c>
      <c r="B8" s="5" t="s">
        <v>36</v>
      </c>
      <c r="C8" s="10">
        <v>46241</v>
      </c>
      <c r="D8" s="6">
        <v>750</v>
      </c>
    </row>
    <row r="9" spans="1:7" x14ac:dyDescent="0.35">
      <c r="A9" s="5" t="s">
        <v>45</v>
      </c>
      <c r="B9" s="5" t="s">
        <v>41</v>
      </c>
      <c r="C9" s="10">
        <v>46242</v>
      </c>
      <c r="D9" s="6">
        <v>1300</v>
      </c>
    </row>
    <row r="10" spans="1:7" x14ac:dyDescent="0.35">
      <c r="A10" s="5" t="s">
        <v>46</v>
      </c>
      <c r="B10" s="5" t="s">
        <v>38</v>
      </c>
      <c r="C10" s="10">
        <v>46243</v>
      </c>
      <c r="D10" s="6">
        <v>900</v>
      </c>
    </row>
    <row r="11" spans="1:7" x14ac:dyDescent="0.35">
      <c r="A11" s="5" t="s">
        <v>47</v>
      </c>
      <c r="B11" s="5" t="s">
        <v>36</v>
      </c>
      <c r="C11" s="10">
        <v>46244</v>
      </c>
      <c r="D11" s="6">
        <v>1400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92CF-B185-49EC-86C6-E6E918238E75}">
  <dimension ref="A1:H9"/>
  <sheetViews>
    <sheetView workbookViewId="0">
      <selection activeCell="J4" sqref="J4"/>
    </sheetView>
  </sheetViews>
  <sheetFormatPr defaultRowHeight="14.5" x14ac:dyDescent="0.35"/>
  <cols>
    <col min="1" max="1" width="15.7265625" bestFit="1" customWidth="1"/>
    <col min="2" max="2" width="8.90625" bestFit="1" customWidth="1"/>
    <col min="3" max="3" width="9.81640625" bestFit="1" customWidth="1"/>
    <col min="4" max="4" width="15" bestFit="1" customWidth="1"/>
    <col min="5" max="5" width="8.7265625" customWidth="1"/>
    <col min="6" max="6" width="13.08984375" customWidth="1"/>
    <col min="8" max="8" width="16.81640625" bestFit="1" customWidth="1"/>
  </cols>
  <sheetData>
    <row r="1" spans="1:8" x14ac:dyDescent="0.35">
      <c r="A1" s="3" t="s">
        <v>50</v>
      </c>
      <c r="B1" s="3" t="s">
        <v>51</v>
      </c>
      <c r="C1" s="3" t="s">
        <v>52</v>
      </c>
      <c r="D1" s="4" t="s">
        <v>53</v>
      </c>
      <c r="G1" s="7" t="s">
        <v>51</v>
      </c>
      <c r="H1" s="7" t="s">
        <v>50</v>
      </c>
    </row>
    <row r="2" spans="1:8" x14ac:dyDescent="0.35">
      <c r="A2" s="5" t="s">
        <v>54</v>
      </c>
      <c r="B2" s="5" t="s">
        <v>55</v>
      </c>
      <c r="C2" s="5" t="s">
        <v>56</v>
      </c>
      <c r="D2" s="6">
        <v>35</v>
      </c>
      <c r="G2" t="s">
        <v>70</v>
      </c>
      <c r="H2" t="str">
        <f>_xlfn.XLOOKUP(G2,B2:B9,A2:A9,"No playlist available",0,1)</f>
        <v>Rock Classics</v>
      </c>
    </row>
    <row r="3" spans="1:8" x14ac:dyDescent="0.35">
      <c r="A3" s="5" t="s">
        <v>57</v>
      </c>
      <c r="B3" s="5" t="s">
        <v>58</v>
      </c>
      <c r="C3" s="5" t="s">
        <v>59</v>
      </c>
      <c r="D3" s="6">
        <v>42</v>
      </c>
      <c r="G3" t="s">
        <v>78</v>
      </c>
      <c r="H3" t="str">
        <f>_xlfn.XLOOKUP(G3,B3:B10,A3:A10,"No playlist available",0,1)</f>
        <v>No playlist available</v>
      </c>
    </row>
    <row r="4" spans="1:8" x14ac:dyDescent="0.35">
      <c r="A4" s="5" t="s">
        <v>60</v>
      </c>
      <c r="B4" s="5" t="s">
        <v>61</v>
      </c>
      <c r="C4" s="5" t="s">
        <v>62</v>
      </c>
      <c r="D4" s="6">
        <v>28</v>
      </c>
    </row>
    <row r="5" spans="1:8" x14ac:dyDescent="0.35">
      <c r="A5" s="5" t="s">
        <v>63</v>
      </c>
      <c r="B5" s="5" t="s">
        <v>64</v>
      </c>
      <c r="C5" s="5" t="s">
        <v>65</v>
      </c>
      <c r="D5" s="6">
        <v>31</v>
      </c>
    </row>
    <row r="6" spans="1:8" x14ac:dyDescent="0.35">
      <c r="A6" s="5" t="s">
        <v>66</v>
      </c>
      <c r="B6" s="5" t="s">
        <v>67</v>
      </c>
      <c r="C6" s="5" t="s">
        <v>68</v>
      </c>
      <c r="D6" s="6">
        <v>50</v>
      </c>
    </row>
    <row r="7" spans="1:8" x14ac:dyDescent="0.35">
      <c r="A7" s="5" t="s">
        <v>69</v>
      </c>
      <c r="B7" s="5" t="s">
        <v>70</v>
      </c>
      <c r="C7" s="5" t="s">
        <v>71</v>
      </c>
      <c r="D7" s="6">
        <v>25</v>
      </c>
    </row>
    <row r="8" spans="1:8" x14ac:dyDescent="0.35">
      <c r="A8" s="5" t="s">
        <v>72</v>
      </c>
      <c r="B8" s="5" t="s">
        <v>73</v>
      </c>
      <c r="C8" s="5" t="s">
        <v>74</v>
      </c>
      <c r="D8" s="6">
        <v>38</v>
      </c>
    </row>
    <row r="9" spans="1:8" x14ac:dyDescent="0.35">
      <c r="A9" s="5" t="s">
        <v>75</v>
      </c>
      <c r="B9" s="5" t="s">
        <v>76</v>
      </c>
      <c r="C9" s="5" t="s">
        <v>77</v>
      </c>
      <c r="D9" s="6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EB27-E311-4F9F-B0C9-389C280CA4C9}">
  <dimension ref="A1:G13"/>
  <sheetViews>
    <sheetView workbookViewId="0">
      <selection activeCell="I5" sqref="I5"/>
    </sheetView>
  </sheetViews>
  <sheetFormatPr defaultRowHeight="14.5" x14ac:dyDescent="0.35"/>
  <cols>
    <col min="1" max="1" width="9.6328125" bestFit="1" customWidth="1"/>
    <col min="2" max="2" width="14.7265625" bestFit="1" customWidth="1"/>
    <col min="3" max="3" width="12.08984375" bestFit="1" customWidth="1"/>
    <col min="4" max="4" width="9.26953125" bestFit="1" customWidth="1"/>
    <col min="6" max="6" width="12.1796875" customWidth="1"/>
    <col min="7" max="7" width="15.90625" bestFit="1" customWidth="1"/>
  </cols>
  <sheetData>
    <row r="1" spans="1:7" x14ac:dyDescent="0.35">
      <c r="A1" s="1" t="s">
        <v>79</v>
      </c>
      <c r="B1" s="1" t="s">
        <v>80</v>
      </c>
      <c r="C1" s="1" t="s">
        <v>81</v>
      </c>
      <c r="D1" s="1" t="s">
        <v>82</v>
      </c>
      <c r="F1" s="1" t="s">
        <v>79</v>
      </c>
      <c r="G1" s="1" t="s">
        <v>82</v>
      </c>
    </row>
    <row r="2" spans="1:7" x14ac:dyDescent="0.35">
      <c r="A2" s="2" t="s">
        <v>83</v>
      </c>
      <c r="B2" s="2" t="s">
        <v>84</v>
      </c>
      <c r="C2" s="2">
        <v>12901</v>
      </c>
      <c r="D2" s="2" t="s">
        <v>85</v>
      </c>
      <c r="F2" s="2" t="s">
        <v>86</v>
      </c>
      <c r="G2" t="str">
        <f>_xlfn.XLOOKUP(F2,A2:A13,D2:D13,"Booking Not Found",0,1)</f>
        <v>Waiting</v>
      </c>
    </row>
    <row r="3" spans="1:7" x14ac:dyDescent="0.35">
      <c r="A3" s="2" t="s">
        <v>86</v>
      </c>
      <c r="B3" s="2" t="s">
        <v>87</v>
      </c>
      <c r="C3" s="2">
        <v>12902</v>
      </c>
      <c r="D3" s="2" t="s">
        <v>88</v>
      </c>
      <c r="F3" s="2" t="s">
        <v>91</v>
      </c>
      <c r="G3" t="str">
        <f t="shared" ref="G3:G5" si="0">_xlfn.XLOOKUP(F3,A3:A14,D3:D14,"Booking Not Found",0,1)</f>
        <v>RAC</v>
      </c>
    </row>
    <row r="4" spans="1:7" x14ac:dyDescent="0.35">
      <c r="A4" s="2" t="s">
        <v>89</v>
      </c>
      <c r="B4" s="2" t="s">
        <v>90</v>
      </c>
      <c r="C4" s="2">
        <v>12903</v>
      </c>
      <c r="D4" s="2" t="s">
        <v>85</v>
      </c>
      <c r="F4" s="2" t="s">
        <v>111</v>
      </c>
      <c r="G4" t="str">
        <f t="shared" si="0"/>
        <v>Booking Not Found</v>
      </c>
    </row>
    <row r="5" spans="1:7" x14ac:dyDescent="0.35">
      <c r="A5" s="2" t="s">
        <v>91</v>
      </c>
      <c r="B5" s="2" t="s">
        <v>92</v>
      </c>
      <c r="C5" s="2">
        <v>12904</v>
      </c>
      <c r="D5" s="2" t="s">
        <v>93</v>
      </c>
      <c r="F5" s="2" t="s">
        <v>105</v>
      </c>
      <c r="G5" t="str">
        <f t="shared" si="0"/>
        <v>Confirmed</v>
      </c>
    </row>
    <row r="6" spans="1:7" x14ac:dyDescent="0.35">
      <c r="A6" s="2" t="s">
        <v>94</v>
      </c>
      <c r="B6" s="2" t="s">
        <v>95</v>
      </c>
      <c r="C6" s="2">
        <v>12905</v>
      </c>
      <c r="D6" s="2" t="s">
        <v>85</v>
      </c>
    </row>
    <row r="7" spans="1:7" x14ac:dyDescent="0.35">
      <c r="A7" s="2" t="s">
        <v>96</v>
      </c>
      <c r="B7" s="2" t="s">
        <v>97</v>
      </c>
      <c r="C7" s="2">
        <v>12906</v>
      </c>
      <c r="D7" s="2" t="s">
        <v>98</v>
      </c>
    </row>
    <row r="8" spans="1:7" x14ac:dyDescent="0.35">
      <c r="A8" s="2" t="s">
        <v>99</v>
      </c>
      <c r="B8" s="2" t="s">
        <v>100</v>
      </c>
      <c r="C8" s="2">
        <v>12907</v>
      </c>
      <c r="D8" s="2" t="s">
        <v>85</v>
      </c>
    </row>
    <row r="9" spans="1:7" x14ac:dyDescent="0.35">
      <c r="A9" s="2" t="s">
        <v>101</v>
      </c>
      <c r="B9" s="2" t="s">
        <v>102</v>
      </c>
      <c r="C9" s="2">
        <v>12908</v>
      </c>
      <c r="D9" s="2" t="s">
        <v>88</v>
      </c>
    </row>
    <row r="10" spans="1:7" x14ac:dyDescent="0.35">
      <c r="A10" s="2" t="s">
        <v>103</v>
      </c>
      <c r="B10" s="2" t="s">
        <v>104</v>
      </c>
      <c r="C10" s="2">
        <v>12909</v>
      </c>
      <c r="D10" s="2" t="s">
        <v>93</v>
      </c>
    </row>
    <row r="11" spans="1:7" x14ac:dyDescent="0.35">
      <c r="A11" s="2" t="s">
        <v>105</v>
      </c>
      <c r="B11" s="2" t="s">
        <v>106</v>
      </c>
      <c r="C11" s="2">
        <v>12910</v>
      </c>
      <c r="D11" s="2" t="s">
        <v>85</v>
      </c>
    </row>
    <row r="12" spans="1:7" x14ac:dyDescent="0.35">
      <c r="A12" s="2" t="s">
        <v>107</v>
      </c>
      <c r="B12" s="2" t="s">
        <v>108</v>
      </c>
      <c r="C12" s="2">
        <v>12911</v>
      </c>
      <c r="D12" s="2" t="s">
        <v>85</v>
      </c>
    </row>
    <row r="13" spans="1:7" x14ac:dyDescent="0.35">
      <c r="A13" s="2" t="s">
        <v>109</v>
      </c>
      <c r="B13" s="2" t="s">
        <v>110</v>
      </c>
      <c r="C13" s="2">
        <v>12912</v>
      </c>
      <c r="D13" s="2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CBF8-04F2-4329-902B-F046B8E895B5}">
  <dimension ref="A1:F11"/>
  <sheetViews>
    <sheetView tabSelected="1" workbookViewId="0">
      <selection activeCell="H6" sqref="H6"/>
    </sheetView>
  </sheetViews>
  <sheetFormatPr defaultRowHeight="14.5" x14ac:dyDescent="0.35"/>
  <cols>
    <col min="1" max="1" width="7.6328125" bestFit="1" customWidth="1"/>
    <col min="2" max="2" width="14.08984375" bestFit="1" customWidth="1"/>
    <col min="3" max="3" width="11.90625" bestFit="1" customWidth="1"/>
    <col min="6" max="6" width="15.7265625" customWidth="1"/>
  </cols>
  <sheetData>
    <row r="1" spans="1:6" x14ac:dyDescent="0.35">
      <c r="A1" s="1" t="s">
        <v>31</v>
      </c>
      <c r="B1" s="1" t="s">
        <v>112</v>
      </c>
      <c r="C1" s="1" t="s">
        <v>113</v>
      </c>
      <c r="E1" s="1" t="s">
        <v>31</v>
      </c>
      <c r="F1" s="1" t="s">
        <v>113</v>
      </c>
    </row>
    <row r="2" spans="1:6" x14ac:dyDescent="0.35">
      <c r="A2" s="2" t="s">
        <v>114</v>
      </c>
      <c r="B2" s="2" t="s">
        <v>115</v>
      </c>
      <c r="C2" s="9">
        <v>46239</v>
      </c>
      <c r="E2" s="2" t="s">
        <v>116</v>
      </c>
      <c r="F2" s="8">
        <f>_xlfn.XLOOKUP(E2,A2:A11,C2:C11,"Order Not Found",0,1)</f>
        <v>46241</v>
      </c>
    </row>
    <row r="3" spans="1:6" x14ac:dyDescent="0.35">
      <c r="A3" s="2" t="s">
        <v>116</v>
      </c>
      <c r="B3" s="2" t="s">
        <v>117</v>
      </c>
      <c r="C3" s="9">
        <v>46241</v>
      </c>
      <c r="E3" s="2" t="s">
        <v>124</v>
      </c>
      <c r="F3" s="8">
        <f t="shared" ref="F3:F5" si="0">_xlfn.XLOOKUP(E3,A3:A12,C3:C12,"Order Not Found",0,1)</f>
        <v>46247</v>
      </c>
    </row>
    <row r="4" spans="1:6" x14ac:dyDescent="0.35">
      <c r="A4" s="2" t="s">
        <v>118</v>
      </c>
      <c r="B4" s="2" t="s">
        <v>119</v>
      </c>
      <c r="C4" s="9">
        <v>46243</v>
      </c>
      <c r="E4" s="2" t="s">
        <v>132</v>
      </c>
      <c r="F4" s="8">
        <f t="shared" si="0"/>
        <v>46251</v>
      </c>
    </row>
    <row r="5" spans="1:6" x14ac:dyDescent="0.35">
      <c r="A5" s="2" t="s">
        <v>120</v>
      </c>
      <c r="B5" s="2" t="s">
        <v>121</v>
      </c>
      <c r="C5" s="9">
        <v>46245</v>
      </c>
      <c r="E5" s="2" t="s">
        <v>134</v>
      </c>
      <c r="F5" s="8" t="str">
        <f t="shared" si="0"/>
        <v>Order Not Found</v>
      </c>
    </row>
    <row r="6" spans="1:6" x14ac:dyDescent="0.35">
      <c r="A6" s="2" t="s">
        <v>122</v>
      </c>
      <c r="B6" s="2" t="s">
        <v>123</v>
      </c>
      <c r="C6" s="9">
        <v>46246</v>
      </c>
    </row>
    <row r="7" spans="1:6" x14ac:dyDescent="0.35">
      <c r="A7" s="2" t="s">
        <v>124</v>
      </c>
      <c r="B7" s="2" t="s">
        <v>125</v>
      </c>
      <c r="C7" s="9">
        <v>46247</v>
      </c>
    </row>
    <row r="8" spans="1:6" x14ac:dyDescent="0.35">
      <c r="A8" s="2" t="s">
        <v>126</v>
      </c>
      <c r="B8" s="2" t="s">
        <v>127</v>
      </c>
      <c r="C8" s="9">
        <v>46248</v>
      </c>
    </row>
    <row r="9" spans="1:6" x14ac:dyDescent="0.35">
      <c r="A9" s="2" t="s">
        <v>128</v>
      </c>
      <c r="B9" s="2" t="s">
        <v>129</v>
      </c>
      <c r="C9" s="9">
        <v>46249</v>
      </c>
    </row>
    <row r="10" spans="1:6" x14ac:dyDescent="0.35">
      <c r="A10" s="2" t="s">
        <v>130</v>
      </c>
      <c r="B10" s="2" t="s">
        <v>131</v>
      </c>
      <c r="C10" s="9">
        <v>46250</v>
      </c>
    </row>
    <row r="11" spans="1:6" x14ac:dyDescent="0.35">
      <c r="A11" s="2" t="s">
        <v>132</v>
      </c>
      <c r="B11" s="2" t="s">
        <v>133</v>
      </c>
      <c r="C11" s="9">
        <v>46251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Singh Tomar</dc:creator>
  <cp:lastModifiedBy>Yamini Singh Tomar</cp:lastModifiedBy>
  <dcterms:created xsi:type="dcterms:W3CDTF">2026-08-13T18:32:35Z</dcterms:created>
  <dcterms:modified xsi:type="dcterms:W3CDTF">2026-08-13T19:11:34Z</dcterms:modified>
</cp:coreProperties>
</file>