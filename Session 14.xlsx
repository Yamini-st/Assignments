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Desktop\DATA ANALYTICS\Assignments\Excel\"/>
    </mc:Choice>
  </mc:AlternateContent>
  <xr:revisionPtr revIDLastSave="0" documentId="13_ncr:1_{BAB55EC5-FAD5-4028-ADB8-785CE4911C97}" xr6:coauthVersionLast="47" xr6:coauthVersionMax="47" xr10:uidLastSave="{00000000-0000-0000-0000-000000000000}"/>
  <bookViews>
    <workbookView xWindow="-110" yWindow="-110" windowWidth="19420" windowHeight="10300" activeTab="4" xr2:uid="{88AFDC56-774D-475B-8F46-7C2200F61E35}"/>
  </bookViews>
  <sheets>
    <sheet name="Table" sheetId="1" r:id="rId1"/>
    <sheet name="Task 1" sheetId="2" r:id="rId2"/>
    <sheet name="Task 2" sheetId="3" r:id="rId3"/>
    <sheet name="Task 3" sheetId="4" r:id="rId4"/>
    <sheet name="Task 4" sheetId="8" r:id="rId5"/>
  </sheets>
  <definedNames>
    <definedName name="Slicer_City">#N/A</definedName>
  </definedNames>
  <calcPr calcId="191029"/>
  <pivotCaches>
    <pivotCache cacheId="9"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4" l="1" a="1"/>
  <c r="D2" i="4"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<sst xmlns="http://schemas.openxmlformats.org/spreadsheetml/2006/main" count="239" uniqueCount="87">
  <si>
    <t>Order Date</t>
  </si>
  <si>
    <t>Order ID</t>
  </si>
  <si>
    <t>City</t>
  </si>
  <si>
    <t>Restaurant</t>
  </si>
  <si>
    <t>Amount</t>
  </si>
  <si>
    <t>Z001</t>
  </si>
  <si>
    <t>Ahmedabad</t>
  </si>
  <si>
    <t>Burger King</t>
  </si>
  <si>
    <t>Z002</t>
  </si>
  <si>
    <t>Mumbai</t>
  </si>
  <si>
    <t>Pizza Hut</t>
  </si>
  <si>
    <t>Z003</t>
  </si>
  <si>
    <t>Subway</t>
  </si>
  <si>
    <t>Z004</t>
  </si>
  <si>
    <t>Delhi</t>
  </si>
  <si>
    <t>Z005</t>
  </si>
  <si>
    <t>Z006</t>
  </si>
  <si>
    <t>Domino's</t>
  </si>
  <si>
    <t>Z007</t>
  </si>
  <si>
    <t>Z008</t>
  </si>
  <si>
    <t>Z009</t>
  </si>
  <si>
    <t>Z010</t>
  </si>
  <si>
    <t>Z011</t>
  </si>
  <si>
    <t>Z012</t>
  </si>
  <si>
    <t>Sum of Amount</t>
  </si>
  <si>
    <t>Row Labels</t>
  </si>
  <si>
    <t>Grand Total</t>
  </si>
  <si>
    <t>Jan</t>
  </si>
  <si>
    <t>Feb</t>
  </si>
  <si>
    <t>Mar</t>
  </si>
  <si>
    <t>Apr</t>
  </si>
  <si>
    <t>2026</t>
  </si>
  <si>
    <t>Z013</t>
  </si>
  <si>
    <t>Z014</t>
  </si>
  <si>
    <t>Z015</t>
  </si>
  <si>
    <t>Z016</t>
  </si>
  <si>
    <t>Z017</t>
  </si>
  <si>
    <t>Z018</t>
  </si>
  <si>
    <t>Z019</t>
  </si>
  <si>
    <t>Z020</t>
  </si>
  <si>
    <t>Z021</t>
  </si>
  <si>
    <t>Z022</t>
  </si>
  <si>
    <t>Z023</t>
  </si>
  <si>
    <t>Z024</t>
  </si>
  <si>
    <t>Z025</t>
  </si>
  <si>
    <t>Z026</t>
  </si>
  <si>
    <t>Z027</t>
  </si>
  <si>
    <t>Z028</t>
  </si>
  <si>
    <t>Z029</t>
  </si>
  <si>
    <t>Z030</t>
  </si>
  <si>
    <t>Z031</t>
  </si>
  <si>
    <t>Z032</t>
  </si>
  <si>
    <t>Z033</t>
  </si>
  <si>
    <t>Z034</t>
  </si>
  <si>
    <t>Z035</t>
  </si>
  <si>
    <t>Z036</t>
  </si>
  <si>
    <t>Z037</t>
  </si>
  <si>
    <t>Z038</t>
  </si>
  <si>
    <t>Z039</t>
  </si>
  <si>
    <t>Z040</t>
  </si>
  <si>
    <t>Z041</t>
  </si>
  <si>
    <t>Z042</t>
  </si>
  <si>
    <t>Z043</t>
  </si>
  <si>
    <t>Z044</t>
  </si>
  <si>
    <t>Z045</t>
  </si>
  <si>
    <t>Z046</t>
  </si>
  <si>
    <t>Z047</t>
  </si>
  <si>
    <t>Z048</t>
  </si>
  <si>
    <t>Z049</t>
  </si>
  <si>
    <t>Z050</t>
  </si>
  <si>
    <t>2024</t>
  </si>
  <si>
    <t>May</t>
  </si>
  <si>
    <t>Jun</t>
  </si>
  <si>
    <t>2025</t>
  </si>
  <si>
    <t>Qtr1</t>
  </si>
  <si>
    <t>Qtr2</t>
  </si>
  <si>
    <t>Qtr3</t>
  </si>
  <si>
    <t>Qtr4</t>
  </si>
  <si>
    <t>Oct</t>
  </si>
  <si>
    <t>Nov</t>
  </si>
  <si>
    <t>Dec</t>
  </si>
  <si>
    <t>Jul</t>
  </si>
  <si>
    <t>Aug</t>
  </si>
  <si>
    <t>Sep</t>
  </si>
  <si>
    <t>Count of Order ID</t>
  </si>
  <si>
    <t/>
  </si>
  <si>
    <t>Average Order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</si>
</sst>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4" tint="0.7999816888943144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6">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1" xfId="0" applyBorder="1" applyAlignment="1">
      <alignment vertical="center" wrapText="1"/>
    </xf>
    <xf numFmtId="15" fontId="0" fillId="0" borderId="2" xfId="0" applyNumberFormat="1" applyBorder="1" applyAlignment="1">
      <alignment vertical="center" wrapText="1"/>
    </xf>
    <xf numFmtId="0" fontId="0" fillId="0" borderId="3" xfId="0" applyBorder="1" applyAlignment="1">
      <alignment horizontal="right"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right" vertical="center" wrapText="1"/>
    </xf>
    <xf numFmtId="15" fontId="0" fillId="0" borderId="7" xfId="0" applyNumberFormat="1" applyBorder="1" applyAlignment="1">
      <alignment vertical="center" wrapText="1"/>
    </xf>
    <xf numFmtId="0" fontId="0" fillId="0" borderId="8" xfId="0" applyBorder="1" applyAlignment="1">
      <alignment vertical="center" wrapText="1"/>
    </xf>
    <xf numFmtId="0" fontId="0" fillId="0" borderId="9" xfId="0" applyBorder="1" applyAlignment="1">
      <alignment horizontal="right" vertical="center" wrapText="1"/>
    </xf>
    <xf numFmtId="15" fontId="0" fillId="0" borderId="0" xfId="0" applyNumberFormat="1" applyAlignment="1">
      <alignment horizontal="left" indent="2"/>
    </xf>
    <xf numFmtId="0" fontId="0" fillId="0" borderId="0" xfId="0" applyNumberFormat="1"/>
    <xf numFmtId="0" fontId="1" fillId="2" borderId="0" xfId="0" applyFont="1" applyFill="1"/>
  </cellXfs>
  <cellStyles count="1">
    <cellStyle name="Normal" xfId="0" builtinId="0"/>
  </cellStyles>
  <dxfs count="10">
    <dxf>
      <alignment horizontal="right" vertical="center"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0" formatCode="dd/mmm/yy"/>
      <alignment horizontal="general"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4</xdr:col>
      <xdr:colOff>190500</xdr:colOff>
      <xdr:row>2</xdr:row>
      <xdr:rowOff>19050</xdr:rowOff>
    </xdr:from>
    <xdr:to>
      <xdr:col>10</xdr:col>
      <xdr:colOff>0</xdr:colOff>
      <xdr:row>16</xdr:row>
      <xdr:rowOff>60322</xdr:rowOff>
    </xdr:to>
    <mc:AlternateContent xmlns:mc="http://schemas.openxmlformats.org/markup-compatibility/2006">
      <mc:Choice xmlns:a14="http://schemas.microsoft.com/office/drawing/2010/main" Requires="a14">
        <xdr:graphicFrame macro="">
          <xdr:nvGraphicFramePr>
            <xdr:cNvPr id="2" name="City">
              <a:extLst>
                <a:ext uri="{FF2B5EF4-FFF2-40B4-BE49-F238E27FC236}">
                  <a16:creationId xmlns:a16="http://schemas.microsoft.com/office/drawing/2014/main" id="{B3D62AE2-089B-A8F6-5253-12BAD52092AB}"/>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3409950" y="38735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mini Singh Tomar" refreshedDate="46266.97542638889" createdVersion="8" refreshedVersion="8" minRefreshableVersion="3" recordCount="50" xr:uid="{96F4984F-17C0-425E-93D5-51201B381DC4}">
  <cacheSource type="worksheet">
    <worksheetSource name="Table1"/>
  </cacheSource>
  <cacheFields count="14">
    <cacheField name="Order Date" numFmtId="15">
      <sharedItems containsSemiMixedTypes="0" containsNonDate="0" containsDate="1" containsString="0" minDate="2024-01-05T00:00:00" maxDate="2026-08-22T00:00:00" count="50">
        <d v="2024-01-05T00:00:00"/>
        <d v="2024-01-18T00:00:00"/>
        <d v="2024-02-03T00:00:00"/>
        <d v="2024-02-21T00:00:00"/>
        <d v="2024-03-12T00:00:00"/>
        <d v="2024-03-25T00:00:00"/>
        <d v="2024-04-08T00:00:00"/>
        <d v="2024-04-19T00:00:00"/>
        <d v="2024-05-07T00:00:00"/>
        <d v="2024-05-23T00:00:00"/>
        <d v="2024-06-11T00:00:00"/>
        <d v="2024-06-28T00:00:00"/>
        <d v="2024-07-06T00:00:00"/>
        <d v="2024-08-17T00:00:00"/>
        <d v="2024-09-04T00:00:00"/>
        <d v="2024-10-22T00:00:00"/>
        <d v="2024-11-15T00:00:00"/>
        <d v="2024-12-27T00:00:00"/>
        <d v="2025-01-09T00:00:00"/>
        <d v="2025-01-24T00:00:00"/>
        <d v="2025-02-06T00:00:00"/>
        <d v="2025-02-18T00:00:00"/>
        <d v="2025-03-05T00:00:00"/>
        <d v="2025-03-21T00:00:00"/>
        <d v="2025-04-10T00:00:00"/>
        <d v="2025-04-26T00:00:00"/>
        <d v="2025-05-08T00:00:00"/>
        <d v="2025-05-19T00:00:00"/>
        <d v="2025-06-04T00:00:00"/>
        <d v="2025-06-22T00:00:00"/>
        <d v="2025-07-07T00:00:00"/>
        <d v="2025-08-18T00:00:00"/>
        <d v="2025-09-03T00:00:00"/>
        <d v="2025-10-21T00:00:00"/>
        <d v="2025-11-14T00:00:00"/>
        <d v="2025-12-29T00:00:00"/>
        <d v="2026-01-06T00:00:00"/>
        <d v="2026-01-20T00:00:00"/>
        <d v="2026-02-08T00:00:00"/>
        <d v="2026-02-23T00:00:00"/>
        <d v="2026-03-05T00:00:00"/>
        <d v="2026-03-17T00:00:00"/>
        <d v="2026-04-09T00:00:00"/>
        <d v="2026-04-24T00:00:00"/>
        <d v="2026-05-11T00:00:00"/>
        <d v="2026-05-26T00:00:00"/>
        <d v="2026-06-07T00:00:00"/>
        <d v="2026-06-19T00:00:00"/>
        <d v="2026-07-05T00:00:00"/>
        <d v="2026-08-21T00:00:00"/>
      </sharedItems>
      <fieldGroup par="7"/>
    </cacheField>
    <cacheField name="Order ID" numFmtId="0">
      <sharedItems count="50">
        <s v="Z001"/>
        <s v="Z002"/>
        <s v="Z003"/>
        <s v="Z004"/>
        <s v="Z005"/>
        <s v="Z006"/>
        <s v="Z007"/>
        <s v="Z008"/>
        <s v="Z009"/>
        <s v="Z010"/>
        <s v="Z011"/>
        <s v="Z012"/>
        <s v="Z013"/>
        <s v="Z014"/>
        <s v="Z015"/>
        <s v="Z016"/>
        <s v="Z017"/>
        <s v="Z018"/>
        <s v="Z019"/>
        <s v="Z020"/>
        <s v="Z021"/>
        <s v="Z022"/>
        <s v="Z023"/>
        <s v="Z024"/>
        <s v="Z025"/>
        <s v="Z026"/>
        <s v="Z027"/>
        <s v="Z028"/>
        <s v="Z029"/>
        <s v="Z030"/>
        <s v="Z031"/>
        <s v="Z032"/>
        <s v="Z033"/>
        <s v="Z034"/>
        <s v="Z035"/>
        <s v="Z036"/>
        <s v="Z037"/>
        <s v="Z038"/>
        <s v="Z039"/>
        <s v="Z040"/>
        <s v="Z041"/>
        <s v="Z042"/>
        <s v="Z043"/>
        <s v="Z044"/>
        <s v="Z045"/>
        <s v="Z046"/>
        <s v="Z047"/>
        <s v="Z048"/>
        <s v="Z049"/>
        <s v="Z050"/>
      </sharedItems>
    </cacheField>
    <cacheField name="City" numFmtId="0">
      <sharedItems count="3">
        <s v="Ahmedabad"/>
        <s v="Mumbai"/>
        <s v="Delhi"/>
      </sharedItems>
    </cacheField>
    <cacheField name="Restaurant" numFmtId="0">
      <sharedItems/>
    </cacheField>
    <cacheField name="Amount" numFmtId="0">
      <sharedItems containsSemiMixedTypes="0" containsString="0" containsNumber="1" containsInteger="1" minValue="380" maxValue="990" count="42">
        <n v="450"/>
        <n v="620"/>
        <n v="380"/>
        <n v="550"/>
        <n v="720"/>
        <n v="480"/>
        <n v="650"/>
        <n v="420"/>
        <n v="800"/>
        <n v="590"/>
        <n v="470"/>
        <n v="530"/>
        <n v="690"/>
        <n v="750"/>
        <n v="410"/>
        <n v="880"/>
        <n v="560"/>
        <n v="920"/>
        <n v="610"/>
        <n v="730"/>
        <n v="490"/>
        <n v="850"/>
        <n v="540"/>
        <n v="670"/>
        <n v="780"/>
        <n v="630"/>
        <n v="520"/>
        <n v="910"/>
        <n v="760"/>
        <n v="580"/>
        <n v="840"/>
        <n v="950"/>
        <n v="640"/>
        <n v="890"/>
        <n v="710"/>
        <n v="860"/>
        <n v="980"/>
        <n v="740"/>
        <n v="820"/>
        <n v="930"/>
        <n v="960"/>
        <n v="990"/>
      </sharedItems>
    </cacheField>
    <cacheField name="Months (Order Date)" numFmtId="0" databaseField="0">
      <fieldGroup base="0">
        <rangePr groupBy="months" startDate="2024-01-05T00:00:00" endDate="2026-08-22T00:00:00"/>
        <groupItems count="14">
          <s v="&lt;05-01-2024"/>
          <s v="Jan"/>
          <s v="Feb"/>
          <s v="Mar"/>
          <s v="Apr"/>
          <s v="May"/>
          <s v="Jun"/>
          <s v="Jul"/>
          <s v="Aug"/>
          <s v="Sep"/>
          <s v="Oct"/>
          <s v="Nov"/>
          <s v="Dec"/>
          <s v="&gt;22-08-2026"/>
        </groupItems>
      </fieldGroup>
    </cacheField>
    <cacheField name="Quarters (Order Date)" numFmtId="0" databaseField="0">
      <fieldGroup base="0">
        <rangePr groupBy="quarters" startDate="2024-01-05T00:00:00" endDate="2026-08-22T00:00:00"/>
        <groupItems count="6">
          <s v="&lt;05-01-2024"/>
          <s v="Qtr1"/>
          <s v="Qtr2"/>
          <s v="Qtr3"/>
          <s v="Qtr4"/>
          <s v="&gt;22-08-2026"/>
        </groupItems>
      </fieldGroup>
    </cacheField>
    <cacheField name="Years (Order Date)" numFmtId="0" databaseField="0">
      <fieldGroup base="0">
        <rangePr groupBy="years" startDate="2024-01-05T00:00:00" endDate="2026-08-22T00:00:00"/>
        <groupItems count="5">
          <s v="&lt;05-01-2024"/>
          <s v="2024"/>
          <s v="2025"/>
          <s v="2026"/>
          <s v="&gt;22-08-2026"/>
        </groupItems>
      </fieldGroup>
    </cacheField>
    <cacheField name="Field1" numFmtId="0" formula="Amount/'Order ID'" databaseField="0"/>
    <cacheField name="Average Order Value" numFmtId="0" formula="Amount/'Order ID'" databaseField="0"/>
    <cacheField name="Field2" numFmtId="0" formula="SUM(Amount)/COUNT('Order ID')" databaseField="0"/>
    <cacheField name="Field3" numFmtId="0" formula="SUM(Amount)/COUNT('Order ID')" databaseField="0"/>
    <cacheField name="Field4" numFmtId="0" formula=" SUM(&quot;Amount&quot;)/COUNT('Order ID' )" databaseField="0"/>
    <cacheField name="Field5" numFmtId="0" formula="Amount /'Order ID'" databaseField="0"/>
  </cacheFields>
  <extLst>
    <ext xmlns:x14="http://schemas.microsoft.com/office/spreadsheetml/2009/9/main" uri="{725AE2AE-9491-48be-B2B4-4EB974FC3084}">
      <x14:pivotCacheDefinition pivotCacheId="3876370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x v="0"/>
    <x v="0"/>
    <s v="Burger King"/>
    <x v="0"/>
  </r>
  <r>
    <x v="1"/>
    <x v="1"/>
    <x v="1"/>
    <s v="Pizza Hut"/>
    <x v="1"/>
  </r>
  <r>
    <x v="2"/>
    <x v="2"/>
    <x v="0"/>
    <s v="Subway"/>
    <x v="2"/>
  </r>
  <r>
    <x v="3"/>
    <x v="3"/>
    <x v="2"/>
    <s v="Burger King"/>
    <x v="3"/>
  </r>
  <r>
    <x v="4"/>
    <x v="4"/>
    <x v="1"/>
    <s v="Domino's"/>
    <x v="4"/>
  </r>
  <r>
    <x v="5"/>
    <x v="5"/>
    <x v="0"/>
    <s v="Pizza Hut"/>
    <x v="5"/>
  </r>
  <r>
    <x v="6"/>
    <x v="6"/>
    <x v="2"/>
    <s v="Subway"/>
    <x v="6"/>
  </r>
  <r>
    <x v="7"/>
    <x v="7"/>
    <x v="1"/>
    <s v="Burger King"/>
    <x v="7"/>
  </r>
  <r>
    <x v="8"/>
    <x v="8"/>
    <x v="0"/>
    <s v="Domino's"/>
    <x v="8"/>
  </r>
  <r>
    <x v="9"/>
    <x v="9"/>
    <x v="2"/>
    <s v="Pizza Hut"/>
    <x v="9"/>
  </r>
  <r>
    <x v="10"/>
    <x v="10"/>
    <x v="1"/>
    <s v="Subway"/>
    <x v="10"/>
  </r>
  <r>
    <x v="11"/>
    <x v="11"/>
    <x v="0"/>
    <s v="Burger King"/>
    <x v="11"/>
  </r>
  <r>
    <x v="12"/>
    <x v="12"/>
    <x v="2"/>
    <s v="Domino's"/>
    <x v="12"/>
  </r>
  <r>
    <x v="13"/>
    <x v="13"/>
    <x v="1"/>
    <s v="Pizza Hut"/>
    <x v="13"/>
  </r>
  <r>
    <x v="14"/>
    <x v="14"/>
    <x v="0"/>
    <s v="Subway"/>
    <x v="14"/>
  </r>
  <r>
    <x v="15"/>
    <x v="15"/>
    <x v="2"/>
    <s v="Burger King"/>
    <x v="15"/>
  </r>
  <r>
    <x v="16"/>
    <x v="16"/>
    <x v="1"/>
    <s v="Domino's"/>
    <x v="16"/>
  </r>
  <r>
    <x v="17"/>
    <x v="17"/>
    <x v="0"/>
    <s v="Pizza Hut"/>
    <x v="17"/>
  </r>
  <r>
    <x v="18"/>
    <x v="18"/>
    <x v="2"/>
    <s v="Subway"/>
    <x v="18"/>
  </r>
  <r>
    <x v="19"/>
    <x v="19"/>
    <x v="1"/>
    <s v="Burger King"/>
    <x v="19"/>
  </r>
  <r>
    <x v="20"/>
    <x v="20"/>
    <x v="0"/>
    <s v="Domino's"/>
    <x v="20"/>
  </r>
  <r>
    <x v="21"/>
    <x v="21"/>
    <x v="2"/>
    <s v="Pizza Hut"/>
    <x v="21"/>
  </r>
  <r>
    <x v="22"/>
    <x v="22"/>
    <x v="1"/>
    <s v="Subway"/>
    <x v="22"/>
  </r>
  <r>
    <x v="23"/>
    <x v="23"/>
    <x v="0"/>
    <s v="Burger King"/>
    <x v="23"/>
  </r>
  <r>
    <x v="24"/>
    <x v="24"/>
    <x v="2"/>
    <s v="Domino's"/>
    <x v="24"/>
  </r>
  <r>
    <x v="25"/>
    <x v="25"/>
    <x v="1"/>
    <s v="Pizza Hut"/>
    <x v="25"/>
  </r>
  <r>
    <x v="26"/>
    <x v="26"/>
    <x v="0"/>
    <s v="Subway"/>
    <x v="26"/>
  </r>
  <r>
    <x v="27"/>
    <x v="27"/>
    <x v="2"/>
    <s v="Burger King"/>
    <x v="27"/>
  </r>
  <r>
    <x v="28"/>
    <x v="28"/>
    <x v="1"/>
    <s v="Domino's"/>
    <x v="12"/>
  </r>
  <r>
    <x v="29"/>
    <x v="29"/>
    <x v="0"/>
    <s v="Pizza Hut"/>
    <x v="28"/>
  </r>
  <r>
    <x v="30"/>
    <x v="30"/>
    <x v="2"/>
    <s v="Subway"/>
    <x v="29"/>
  </r>
  <r>
    <x v="31"/>
    <x v="31"/>
    <x v="1"/>
    <s v="Burger King"/>
    <x v="30"/>
  </r>
  <r>
    <x v="32"/>
    <x v="32"/>
    <x v="0"/>
    <s v="Domino's"/>
    <x v="4"/>
  </r>
  <r>
    <x v="33"/>
    <x v="33"/>
    <x v="2"/>
    <s v="Pizza Hut"/>
    <x v="31"/>
  </r>
  <r>
    <x v="34"/>
    <x v="34"/>
    <x v="1"/>
    <s v="Subway"/>
    <x v="32"/>
  </r>
  <r>
    <x v="35"/>
    <x v="35"/>
    <x v="0"/>
    <s v="Burger King"/>
    <x v="33"/>
  </r>
  <r>
    <x v="36"/>
    <x v="36"/>
    <x v="2"/>
    <s v="Domino's"/>
    <x v="34"/>
  </r>
  <r>
    <x v="37"/>
    <x v="37"/>
    <x v="1"/>
    <s v="Pizza Hut"/>
    <x v="35"/>
  </r>
  <r>
    <x v="38"/>
    <x v="38"/>
    <x v="0"/>
    <s v="Subway"/>
    <x v="3"/>
  </r>
  <r>
    <x v="39"/>
    <x v="39"/>
    <x v="2"/>
    <s v="Burger King"/>
    <x v="36"/>
  </r>
  <r>
    <x v="40"/>
    <x v="40"/>
    <x v="1"/>
    <s v="Domino's"/>
    <x v="37"/>
  </r>
  <r>
    <x v="41"/>
    <x v="41"/>
    <x v="0"/>
    <s v="Pizza Hut"/>
    <x v="23"/>
  </r>
  <r>
    <x v="42"/>
    <x v="42"/>
    <x v="2"/>
    <s v="Subway"/>
    <x v="38"/>
  </r>
  <r>
    <x v="43"/>
    <x v="43"/>
    <x v="1"/>
    <s v="Burger King"/>
    <x v="39"/>
  </r>
  <r>
    <x v="44"/>
    <x v="44"/>
    <x v="0"/>
    <s v="Domino's"/>
    <x v="18"/>
  </r>
  <r>
    <x v="45"/>
    <x v="45"/>
    <x v="2"/>
    <s v="Pizza Hut"/>
    <x v="33"/>
  </r>
  <r>
    <x v="46"/>
    <x v="46"/>
    <x v="1"/>
    <s v="Subway"/>
    <x v="4"/>
  </r>
  <r>
    <x v="47"/>
    <x v="47"/>
    <x v="0"/>
    <s v="Burger King"/>
    <x v="40"/>
  </r>
  <r>
    <x v="48"/>
    <x v="48"/>
    <x v="2"/>
    <s v="Domino's"/>
    <x v="21"/>
  </r>
  <r>
    <x v="49"/>
    <x v="49"/>
    <x v="1"/>
    <s v="Pizza Hut"/>
    <x v="4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3EC98E8-C778-4FA5-B712-1EC410843506}"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B20" firstHeaderRow="1" firstDataRow="1" firstDataCol="1"/>
  <pivotFields count="14">
    <pivotField axis="axisRow" numFmtId="15"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dataField="1" showAll="0"/>
    <pivotField axis="axisRow" showAll="0">
      <items count="15">
        <item sd="0" x="0"/>
        <item x="1"/>
        <item sd="0" x="2"/>
        <item sd="0" x="3"/>
        <item sd="0" x="4"/>
        <item sd="0" x="5"/>
        <item sd="0" x="6"/>
        <item sd="0" x="7"/>
        <item sd="0" x="8"/>
        <item sd="0" x="9"/>
        <item sd="0" x="10"/>
        <item sd="0" x="11"/>
        <item sd="0" x="12"/>
        <item sd="0" x="13"/>
        <item t="default"/>
      </items>
    </pivotField>
    <pivotField showAll="0">
      <items count="7">
        <item sd="0" x="0"/>
        <item sd="0" x="1"/>
        <item sd="0" x="2"/>
        <item sd="0" x="3"/>
        <item x="4"/>
        <item sd="0" x="5"/>
        <item t="default"/>
      </items>
    </pivotField>
    <pivotField axis="axisRow" showAll="0">
      <items count="6">
        <item sd="0" x="0"/>
        <item x="1"/>
        <item sd="0" x="2"/>
        <item sd="0" x="3"/>
        <item sd="0" x="4"/>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3">
    <field x="7"/>
    <field x="5"/>
    <field x="0"/>
  </rowFields>
  <rowItems count="18">
    <i>
      <x v="1"/>
    </i>
    <i r="1">
      <x v="1"/>
    </i>
    <i r="2">
      <x/>
    </i>
    <i r="2">
      <x v="1"/>
    </i>
    <i r="1">
      <x v="2"/>
    </i>
    <i r="1">
      <x v="3"/>
    </i>
    <i r="1">
      <x v="4"/>
    </i>
    <i r="1">
      <x v="5"/>
    </i>
    <i r="1">
      <x v="6"/>
    </i>
    <i r="1">
      <x v="7"/>
    </i>
    <i r="1">
      <x v="8"/>
    </i>
    <i r="1">
      <x v="9"/>
    </i>
    <i r="1">
      <x v="10"/>
    </i>
    <i r="1">
      <x v="11"/>
    </i>
    <i r="1">
      <x v="12"/>
    </i>
    <i>
      <x v="2"/>
    </i>
    <i>
      <x v="3"/>
    </i>
    <i t="grand">
      <x/>
    </i>
  </rowItems>
  <colItems count="1">
    <i/>
  </colItems>
  <dataFields count="1">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443A1E-1E14-4EFF-B97F-06C4B483B98C}"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B10" firstHeaderRow="1" firstDataRow="1" firstDataCol="1"/>
  <pivotFields count="14">
    <pivotField numFmtId="15"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x="2"/>
        <item sd="0" x="3"/>
        <item sd="0" x="4"/>
        <item sd="0" x="5"/>
        <item t="default"/>
      </items>
    </pivotField>
    <pivotField axis="axisRow" showAll="0">
      <items count="6">
        <item sd="0" x="0"/>
        <item x="1"/>
        <item sd="0" x="2"/>
        <item sd="0" x="3"/>
        <item sd="0" x="4"/>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2">
    <field x="7"/>
    <field x="6"/>
  </rowFields>
  <rowItems count="8">
    <i>
      <x v="1"/>
    </i>
    <i r="1">
      <x v="1"/>
    </i>
    <i r="1">
      <x v="2"/>
    </i>
    <i r="1">
      <x v="3"/>
    </i>
    <i r="1">
      <x v="4"/>
    </i>
    <i>
      <x v="2"/>
    </i>
    <i>
      <x v="3"/>
    </i>
    <i t="grand">
      <x/>
    </i>
  </rowItems>
  <colItems count="1">
    <i/>
  </colItems>
  <dataFields count="1">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560C2E-2BD2-4C7F-8CF2-7D7FC0F21D3D}" name="PivotTable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
  <location ref="A1:C37" firstHeaderRow="0" firstDataRow="1" firstDataCol="1"/>
  <pivotFields count="14">
    <pivotField numFmtId="15"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dataField="1"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dataField="1" showAll="0">
      <items count="43">
        <item x="2"/>
        <item x="14"/>
        <item x="7"/>
        <item x="0"/>
        <item x="10"/>
        <item x="5"/>
        <item x="20"/>
        <item x="26"/>
        <item x="11"/>
        <item x="22"/>
        <item x="3"/>
        <item x="16"/>
        <item x="29"/>
        <item x="9"/>
        <item x="18"/>
        <item x="1"/>
        <item x="25"/>
        <item x="32"/>
        <item x="6"/>
        <item x="23"/>
        <item x="12"/>
        <item x="34"/>
        <item x="4"/>
        <item x="19"/>
        <item x="37"/>
        <item x="13"/>
        <item x="28"/>
        <item x="24"/>
        <item x="8"/>
        <item x="38"/>
        <item x="30"/>
        <item x="21"/>
        <item x="35"/>
        <item x="15"/>
        <item x="33"/>
        <item x="27"/>
        <item x="17"/>
        <item x="39"/>
        <item x="31"/>
        <item x="40"/>
        <item x="36"/>
        <item x="41"/>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x="1"/>
        <item x="2"/>
        <item x="3"/>
        <item sd="0" x="4"/>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2">
    <field x="7"/>
    <field x="5"/>
  </rowFields>
  <rowItems count="36">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t="grand">
      <x/>
    </i>
  </rowItems>
  <colFields count="1">
    <field x="-2"/>
  </colFields>
  <colItems count="2">
    <i>
      <x/>
    </i>
    <i i="1">
      <x v="1"/>
    </i>
  </colItems>
  <dataFields count="2">
    <dataField name="Sum of Amount" fld="4" baseField="0" baseItem="0"/>
    <dataField name="Count of Order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7FF8C2E-B681-46D1-AAC1-A0AB21459ED5}"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6" firstHeaderRow="0" firstDataRow="1" firstDataCol="1"/>
  <pivotFields count="14">
    <pivotField numFmtId="15"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dataField="1"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items count="4">
        <item x="0"/>
        <item x="2"/>
        <item x="1"/>
        <item t="default"/>
      </items>
    </pivotField>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5"/>
  </rowFields>
  <rowItems count="13">
    <i>
      <x v="1"/>
    </i>
    <i>
      <x v="2"/>
    </i>
    <i>
      <x v="3"/>
    </i>
    <i>
      <x v="4"/>
    </i>
    <i>
      <x v="5"/>
    </i>
    <i>
      <x v="6"/>
    </i>
    <i>
      <x v="7"/>
    </i>
    <i>
      <x v="8"/>
    </i>
    <i>
      <x v="9"/>
    </i>
    <i>
      <x v="10"/>
    </i>
    <i>
      <x v="11"/>
    </i>
    <i>
      <x v="12"/>
    </i>
    <i t="grand">
      <x/>
    </i>
  </rowItems>
  <colFields count="1">
    <field x="-2"/>
  </colFields>
  <colItems count="2">
    <i>
      <x/>
    </i>
    <i i="1">
      <x v="1"/>
    </i>
  </colItems>
  <dataFields count="2">
    <dataField name="Sum of Amount" fld="4" baseField="0" baseItem="0"/>
    <dataField name="Count of Order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17D5B26C-E7B4-4EA4-B543-A638805CA5FA}" sourceName="City">
  <pivotTables>
    <pivotTable tabId="8" name="PivotTable1"/>
  </pivotTables>
  <data>
    <tabular pivotCacheId="38763709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F3921640-864A-42E4-8891-DE1A00273DA8}" cache="Slicer_City" caption="City"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A945ABD-165D-4AB3-B2BD-74DD46810437}" name="Table1" displayName="Table1" ref="A1:E51" totalsRowShown="0" headerRowDxfId="9" dataDxfId="7" headerRowBorderDxfId="8" tableBorderDxfId="6" totalsRowBorderDxfId="5">
  <autoFilter ref="A1:E51" xr:uid="{4A945ABD-165D-4AB3-B2BD-74DD46810437}"/>
  <tableColumns count="5">
    <tableColumn id="1" xr3:uid="{F7197E44-06E6-44AD-85C0-BB30A9DB7462}" name="Order Date" dataDxfId="4"/>
    <tableColumn id="2" xr3:uid="{D48D5EB6-CD0D-4853-9A95-06EE937AE535}" name="Order ID" dataDxfId="3"/>
    <tableColumn id="3" xr3:uid="{872AF426-77C4-4B28-86DF-259E0855BAFD}" name="City" dataDxfId="2"/>
    <tableColumn id="4" xr3:uid="{F61C698F-D27B-4021-858A-204C7FB01F16}" name="Restaurant" dataDxfId="1"/>
    <tableColumn id="5" xr3:uid="{E52CA214-EE77-48ED-8CD7-BFC23400D5F9}" name="Amoun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C545B-E0C5-4BD1-8102-975B7EF56F89}">
  <dimension ref="A1:E51"/>
  <sheetViews>
    <sheetView topLeftCell="A2" workbookViewId="0">
      <selection activeCell="F19" sqref="F19"/>
    </sheetView>
  </sheetViews>
  <sheetFormatPr defaultRowHeight="14.5" x14ac:dyDescent="0.35"/>
  <cols>
    <col min="1" max="1" width="11.7265625" customWidth="1"/>
    <col min="2" max="2" width="9.6328125" customWidth="1"/>
    <col min="3" max="3" width="10.453125" bestFit="1" customWidth="1"/>
    <col min="4" max="4" width="12" customWidth="1"/>
    <col min="5" max="5" width="9.36328125" customWidth="1"/>
    <col min="7" max="7" width="12.453125" bestFit="1" customWidth="1"/>
    <col min="8" max="8" width="13.6328125" bestFit="1" customWidth="1"/>
  </cols>
  <sheetData>
    <row r="1" spans="1:5" x14ac:dyDescent="0.35">
      <c r="A1" s="7" t="s">
        <v>0</v>
      </c>
      <c r="B1" s="8" t="s">
        <v>1</v>
      </c>
      <c r="C1" s="8" t="s">
        <v>2</v>
      </c>
      <c r="D1" s="8" t="s">
        <v>3</v>
      </c>
      <c r="E1" s="9" t="s">
        <v>4</v>
      </c>
    </row>
    <row r="2" spans="1:5" x14ac:dyDescent="0.35">
      <c r="A2" s="5">
        <v>45296</v>
      </c>
      <c r="B2" s="4" t="s">
        <v>5</v>
      </c>
      <c r="C2" s="4" t="s">
        <v>6</v>
      </c>
      <c r="D2" s="4" t="s">
        <v>7</v>
      </c>
      <c r="E2" s="6">
        <v>450</v>
      </c>
    </row>
    <row r="3" spans="1:5" x14ac:dyDescent="0.35">
      <c r="A3" s="5">
        <v>45309</v>
      </c>
      <c r="B3" s="4" t="s">
        <v>8</v>
      </c>
      <c r="C3" s="4" t="s">
        <v>9</v>
      </c>
      <c r="D3" s="4" t="s">
        <v>10</v>
      </c>
      <c r="E3" s="6">
        <v>620</v>
      </c>
    </row>
    <row r="4" spans="1:5" x14ac:dyDescent="0.35">
      <c r="A4" s="5">
        <v>45325</v>
      </c>
      <c r="B4" s="4" t="s">
        <v>11</v>
      </c>
      <c r="C4" s="4" t="s">
        <v>6</v>
      </c>
      <c r="D4" s="4" t="s">
        <v>12</v>
      </c>
      <c r="E4" s="6">
        <v>380</v>
      </c>
    </row>
    <row r="5" spans="1:5" x14ac:dyDescent="0.35">
      <c r="A5" s="5">
        <v>45343</v>
      </c>
      <c r="B5" s="4" t="s">
        <v>13</v>
      </c>
      <c r="C5" s="4" t="s">
        <v>14</v>
      </c>
      <c r="D5" s="4" t="s">
        <v>7</v>
      </c>
      <c r="E5" s="6">
        <v>550</v>
      </c>
    </row>
    <row r="6" spans="1:5" x14ac:dyDescent="0.35">
      <c r="A6" s="5">
        <v>45363</v>
      </c>
      <c r="B6" s="4" t="s">
        <v>15</v>
      </c>
      <c r="C6" s="4" t="s">
        <v>9</v>
      </c>
      <c r="D6" s="4" t="s">
        <v>17</v>
      </c>
      <c r="E6" s="6">
        <v>720</v>
      </c>
    </row>
    <row r="7" spans="1:5" x14ac:dyDescent="0.35">
      <c r="A7" s="5">
        <v>45376</v>
      </c>
      <c r="B7" s="4" t="s">
        <v>16</v>
      </c>
      <c r="C7" s="4" t="s">
        <v>6</v>
      </c>
      <c r="D7" s="4" t="s">
        <v>10</v>
      </c>
      <c r="E7" s="6">
        <v>480</v>
      </c>
    </row>
    <row r="8" spans="1:5" x14ac:dyDescent="0.35">
      <c r="A8" s="5">
        <v>45390</v>
      </c>
      <c r="B8" s="4" t="s">
        <v>18</v>
      </c>
      <c r="C8" s="4" t="s">
        <v>14</v>
      </c>
      <c r="D8" s="4" t="s">
        <v>12</v>
      </c>
      <c r="E8" s="6">
        <v>650</v>
      </c>
    </row>
    <row r="9" spans="1:5" x14ac:dyDescent="0.35">
      <c r="A9" s="5">
        <v>45401</v>
      </c>
      <c r="B9" s="4" t="s">
        <v>19</v>
      </c>
      <c r="C9" s="4" t="s">
        <v>9</v>
      </c>
      <c r="D9" s="4" t="s">
        <v>7</v>
      </c>
      <c r="E9" s="6">
        <v>420</v>
      </c>
    </row>
    <row r="10" spans="1:5" x14ac:dyDescent="0.35">
      <c r="A10" s="5">
        <v>45419</v>
      </c>
      <c r="B10" s="4" t="s">
        <v>20</v>
      </c>
      <c r="C10" s="4" t="s">
        <v>6</v>
      </c>
      <c r="D10" s="4" t="s">
        <v>17</v>
      </c>
      <c r="E10" s="6">
        <v>800</v>
      </c>
    </row>
    <row r="11" spans="1:5" x14ac:dyDescent="0.35">
      <c r="A11" s="5">
        <v>45435</v>
      </c>
      <c r="B11" s="4" t="s">
        <v>21</v>
      </c>
      <c r="C11" s="4" t="s">
        <v>14</v>
      </c>
      <c r="D11" s="4" t="s">
        <v>10</v>
      </c>
      <c r="E11" s="6">
        <v>590</v>
      </c>
    </row>
    <row r="12" spans="1:5" x14ac:dyDescent="0.35">
      <c r="A12" s="5">
        <v>45454</v>
      </c>
      <c r="B12" s="4" t="s">
        <v>22</v>
      </c>
      <c r="C12" s="4" t="s">
        <v>9</v>
      </c>
      <c r="D12" s="4" t="s">
        <v>12</v>
      </c>
      <c r="E12" s="6">
        <v>470</v>
      </c>
    </row>
    <row r="13" spans="1:5" x14ac:dyDescent="0.35">
      <c r="A13" s="5">
        <v>45471</v>
      </c>
      <c r="B13" s="4" t="s">
        <v>23</v>
      </c>
      <c r="C13" s="4" t="s">
        <v>6</v>
      </c>
      <c r="D13" s="4" t="s">
        <v>7</v>
      </c>
      <c r="E13" s="6">
        <v>530</v>
      </c>
    </row>
    <row r="14" spans="1:5" x14ac:dyDescent="0.35">
      <c r="A14" s="5">
        <v>45479</v>
      </c>
      <c r="B14" s="4" t="s">
        <v>32</v>
      </c>
      <c r="C14" s="4" t="s">
        <v>14</v>
      </c>
      <c r="D14" s="4" t="s">
        <v>17</v>
      </c>
      <c r="E14" s="6">
        <v>690</v>
      </c>
    </row>
    <row r="15" spans="1:5" x14ac:dyDescent="0.35">
      <c r="A15" s="5">
        <v>45521</v>
      </c>
      <c r="B15" s="4" t="s">
        <v>33</v>
      </c>
      <c r="C15" s="4" t="s">
        <v>9</v>
      </c>
      <c r="D15" s="4" t="s">
        <v>10</v>
      </c>
      <c r="E15" s="6">
        <v>750</v>
      </c>
    </row>
    <row r="16" spans="1:5" x14ac:dyDescent="0.35">
      <c r="A16" s="5">
        <v>45539</v>
      </c>
      <c r="B16" s="4" t="s">
        <v>34</v>
      </c>
      <c r="C16" s="4" t="s">
        <v>6</v>
      </c>
      <c r="D16" s="4" t="s">
        <v>12</v>
      </c>
      <c r="E16" s="6">
        <v>410</v>
      </c>
    </row>
    <row r="17" spans="1:5" x14ac:dyDescent="0.35">
      <c r="A17" s="5">
        <v>45587</v>
      </c>
      <c r="B17" s="4" t="s">
        <v>35</v>
      </c>
      <c r="C17" s="4" t="s">
        <v>14</v>
      </c>
      <c r="D17" s="4" t="s">
        <v>7</v>
      </c>
      <c r="E17" s="6">
        <v>880</v>
      </c>
    </row>
    <row r="18" spans="1:5" x14ac:dyDescent="0.35">
      <c r="A18" s="5">
        <v>45611</v>
      </c>
      <c r="B18" s="4" t="s">
        <v>36</v>
      </c>
      <c r="C18" s="4" t="s">
        <v>9</v>
      </c>
      <c r="D18" s="4" t="s">
        <v>17</v>
      </c>
      <c r="E18" s="6">
        <v>560</v>
      </c>
    </row>
    <row r="19" spans="1:5" x14ac:dyDescent="0.35">
      <c r="A19" s="5">
        <v>45653</v>
      </c>
      <c r="B19" s="4" t="s">
        <v>37</v>
      </c>
      <c r="C19" s="4" t="s">
        <v>6</v>
      </c>
      <c r="D19" s="4" t="s">
        <v>10</v>
      </c>
      <c r="E19" s="6">
        <v>920</v>
      </c>
    </row>
    <row r="20" spans="1:5" x14ac:dyDescent="0.35">
      <c r="A20" s="5">
        <v>45666</v>
      </c>
      <c r="B20" s="4" t="s">
        <v>38</v>
      </c>
      <c r="C20" s="4" t="s">
        <v>14</v>
      </c>
      <c r="D20" s="4" t="s">
        <v>12</v>
      </c>
      <c r="E20" s="6">
        <v>610</v>
      </c>
    </row>
    <row r="21" spans="1:5" x14ac:dyDescent="0.35">
      <c r="A21" s="5">
        <v>45681</v>
      </c>
      <c r="B21" s="4" t="s">
        <v>39</v>
      </c>
      <c r="C21" s="4" t="s">
        <v>9</v>
      </c>
      <c r="D21" s="4" t="s">
        <v>7</v>
      </c>
      <c r="E21" s="6">
        <v>730</v>
      </c>
    </row>
    <row r="22" spans="1:5" x14ac:dyDescent="0.35">
      <c r="A22" s="5">
        <v>45694</v>
      </c>
      <c r="B22" s="4" t="s">
        <v>40</v>
      </c>
      <c r="C22" s="4" t="s">
        <v>6</v>
      </c>
      <c r="D22" s="4" t="s">
        <v>17</v>
      </c>
      <c r="E22" s="6">
        <v>490</v>
      </c>
    </row>
    <row r="23" spans="1:5" x14ac:dyDescent="0.35">
      <c r="A23" s="5">
        <v>45706</v>
      </c>
      <c r="B23" s="4" t="s">
        <v>41</v>
      </c>
      <c r="C23" s="4" t="s">
        <v>14</v>
      </c>
      <c r="D23" s="4" t="s">
        <v>10</v>
      </c>
      <c r="E23" s="6">
        <v>850</v>
      </c>
    </row>
    <row r="24" spans="1:5" x14ac:dyDescent="0.35">
      <c r="A24" s="5">
        <v>45721</v>
      </c>
      <c r="B24" s="4" t="s">
        <v>42</v>
      </c>
      <c r="C24" s="4" t="s">
        <v>9</v>
      </c>
      <c r="D24" s="4" t="s">
        <v>12</v>
      </c>
      <c r="E24" s="6">
        <v>540</v>
      </c>
    </row>
    <row r="25" spans="1:5" x14ac:dyDescent="0.35">
      <c r="A25" s="5">
        <v>45737</v>
      </c>
      <c r="B25" s="4" t="s">
        <v>43</v>
      </c>
      <c r="C25" s="4" t="s">
        <v>6</v>
      </c>
      <c r="D25" s="4" t="s">
        <v>7</v>
      </c>
      <c r="E25" s="6">
        <v>670</v>
      </c>
    </row>
    <row r="26" spans="1:5" x14ac:dyDescent="0.35">
      <c r="A26" s="5">
        <v>45757</v>
      </c>
      <c r="B26" s="4" t="s">
        <v>44</v>
      </c>
      <c r="C26" s="4" t="s">
        <v>14</v>
      </c>
      <c r="D26" s="4" t="s">
        <v>17</v>
      </c>
      <c r="E26" s="6">
        <v>780</v>
      </c>
    </row>
    <row r="27" spans="1:5" x14ac:dyDescent="0.35">
      <c r="A27" s="5">
        <v>45773</v>
      </c>
      <c r="B27" s="4" t="s">
        <v>45</v>
      </c>
      <c r="C27" s="4" t="s">
        <v>9</v>
      </c>
      <c r="D27" s="4" t="s">
        <v>10</v>
      </c>
      <c r="E27" s="6">
        <v>630</v>
      </c>
    </row>
    <row r="28" spans="1:5" x14ac:dyDescent="0.35">
      <c r="A28" s="5">
        <v>45785</v>
      </c>
      <c r="B28" s="4" t="s">
        <v>46</v>
      </c>
      <c r="C28" s="4" t="s">
        <v>6</v>
      </c>
      <c r="D28" s="4" t="s">
        <v>12</v>
      </c>
      <c r="E28" s="6">
        <v>520</v>
      </c>
    </row>
    <row r="29" spans="1:5" x14ac:dyDescent="0.35">
      <c r="A29" s="5">
        <v>45796</v>
      </c>
      <c r="B29" s="4" t="s">
        <v>47</v>
      </c>
      <c r="C29" s="4" t="s">
        <v>14</v>
      </c>
      <c r="D29" s="4" t="s">
        <v>7</v>
      </c>
      <c r="E29" s="6">
        <v>910</v>
      </c>
    </row>
    <row r="30" spans="1:5" x14ac:dyDescent="0.35">
      <c r="A30" s="5">
        <v>45812</v>
      </c>
      <c r="B30" s="4" t="s">
        <v>48</v>
      </c>
      <c r="C30" s="4" t="s">
        <v>9</v>
      </c>
      <c r="D30" s="4" t="s">
        <v>17</v>
      </c>
      <c r="E30" s="6">
        <v>690</v>
      </c>
    </row>
    <row r="31" spans="1:5" x14ac:dyDescent="0.35">
      <c r="A31" s="5">
        <v>45830</v>
      </c>
      <c r="B31" s="4" t="s">
        <v>49</v>
      </c>
      <c r="C31" s="4" t="s">
        <v>6</v>
      </c>
      <c r="D31" s="4" t="s">
        <v>10</v>
      </c>
      <c r="E31" s="6">
        <v>760</v>
      </c>
    </row>
    <row r="32" spans="1:5" x14ac:dyDescent="0.35">
      <c r="A32" s="5">
        <v>45845</v>
      </c>
      <c r="B32" s="4" t="s">
        <v>50</v>
      </c>
      <c r="C32" s="4" t="s">
        <v>14</v>
      </c>
      <c r="D32" s="4" t="s">
        <v>12</v>
      </c>
      <c r="E32" s="6">
        <v>580</v>
      </c>
    </row>
    <row r="33" spans="1:5" x14ac:dyDescent="0.35">
      <c r="A33" s="5">
        <v>45887</v>
      </c>
      <c r="B33" s="4" t="s">
        <v>51</v>
      </c>
      <c r="C33" s="4" t="s">
        <v>9</v>
      </c>
      <c r="D33" s="4" t="s">
        <v>7</v>
      </c>
      <c r="E33" s="6">
        <v>840</v>
      </c>
    </row>
    <row r="34" spans="1:5" x14ac:dyDescent="0.35">
      <c r="A34" s="5">
        <v>45903</v>
      </c>
      <c r="B34" s="4" t="s">
        <v>52</v>
      </c>
      <c r="C34" s="4" t="s">
        <v>6</v>
      </c>
      <c r="D34" s="4" t="s">
        <v>17</v>
      </c>
      <c r="E34" s="6">
        <v>720</v>
      </c>
    </row>
    <row r="35" spans="1:5" x14ac:dyDescent="0.35">
      <c r="A35" s="5">
        <v>45951</v>
      </c>
      <c r="B35" s="4" t="s">
        <v>53</v>
      </c>
      <c r="C35" s="4" t="s">
        <v>14</v>
      </c>
      <c r="D35" s="4" t="s">
        <v>10</v>
      </c>
      <c r="E35" s="6">
        <v>950</v>
      </c>
    </row>
    <row r="36" spans="1:5" x14ac:dyDescent="0.35">
      <c r="A36" s="5">
        <v>45975</v>
      </c>
      <c r="B36" s="4" t="s">
        <v>54</v>
      </c>
      <c r="C36" s="4" t="s">
        <v>9</v>
      </c>
      <c r="D36" s="4" t="s">
        <v>12</v>
      </c>
      <c r="E36" s="6">
        <v>640</v>
      </c>
    </row>
    <row r="37" spans="1:5" x14ac:dyDescent="0.35">
      <c r="A37" s="5">
        <v>46020</v>
      </c>
      <c r="B37" s="4" t="s">
        <v>55</v>
      </c>
      <c r="C37" s="4" t="s">
        <v>6</v>
      </c>
      <c r="D37" s="4" t="s">
        <v>7</v>
      </c>
      <c r="E37" s="6">
        <v>890</v>
      </c>
    </row>
    <row r="38" spans="1:5" x14ac:dyDescent="0.35">
      <c r="A38" s="5">
        <v>46028</v>
      </c>
      <c r="B38" s="4" t="s">
        <v>56</v>
      </c>
      <c r="C38" s="4" t="s">
        <v>14</v>
      </c>
      <c r="D38" s="4" t="s">
        <v>17</v>
      </c>
      <c r="E38" s="6">
        <v>710</v>
      </c>
    </row>
    <row r="39" spans="1:5" x14ac:dyDescent="0.35">
      <c r="A39" s="5">
        <v>46042</v>
      </c>
      <c r="B39" s="4" t="s">
        <v>57</v>
      </c>
      <c r="C39" s="4" t="s">
        <v>9</v>
      </c>
      <c r="D39" s="4" t="s">
        <v>10</v>
      </c>
      <c r="E39" s="6">
        <v>860</v>
      </c>
    </row>
    <row r="40" spans="1:5" x14ac:dyDescent="0.35">
      <c r="A40" s="5">
        <v>46061</v>
      </c>
      <c r="B40" s="4" t="s">
        <v>58</v>
      </c>
      <c r="C40" s="4" t="s">
        <v>6</v>
      </c>
      <c r="D40" s="4" t="s">
        <v>12</v>
      </c>
      <c r="E40" s="6">
        <v>550</v>
      </c>
    </row>
    <row r="41" spans="1:5" x14ac:dyDescent="0.35">
      <c r="A41" s="5">
        <v>46076</v>
      </c>
      <c r="B41" s="4" t="s">
        <v>59</v>
      </c>
      <c r="C41" s="4" t="s">
        <v>14</v>
      </c>
      <c r="D41" s="4" t="s">
        <v>7</v>
      </c>
      <c r="E41" s="6">
        <v>980</v>
      </c>
    </row>
    <row r="42" spans="1:5" x14ac:dyDescent="0.35">
      <c r="A42" s="5">
        <v>46086</v>
      </c>
      <c r="B42" s="4" t="s">
        <v>60</v>
      </c>
      <c r="C42" s="4" t="s">
        <v>9</v>
      </c>
      <c r="D42" s="4" t="s">
        <v>17</v>
      </c>
      <c r="E42" s="6">
        <v>740</v>
      </c>
    </row>
    <row r="43" spans="1:5" x14ac:dyDescent="0.35">
      <c r="A43" s="5">
        <v>46098</v>
      </c>
      <c r="B43" s="4" t="s">
        <v>61</v>
      </c>
      <c r="C43" s="4" t="s">
        <v>6</v>
      </c>
      <c r="D43" s="4" t="s">
        <v>10</v>
      </c>
      <c r="E43" s="6">
        <v>670</v>
      </c>
    </row>
    <row r="44" spans="1:5" x14ac:dyDescent="0.35">
      <c r="A44" s="5">
        <v>46121</v>
      </c>
      <c r="B44" s="4" t="s">
        <v>62</v>
      </c>
      <c r="C44" s="4" t="s">
        <v>14</v>
      </c>
      <c r="D44" s="4" t="s">
        <v>12</v>
      </c>
      <c r="E44" s="6">
        <v>820</v>
      </c>
    </row>
    <row r="45" spans="1:5" x14ac:dyDescent="0.35">
      <c r="A45" s="5">
        <v>46136</v>
      </c>
      <c r="B45" s="4" t="s">
        <v>63</v>
      </c>
      <c r="C45" s="4" t="s">
        <v>9</v>
      </c>
      <c r="D45" s="4" t="s">
        <v>7</v>
      </c>
      <c r="E45" s="6">
        <v>930</v>
      </c>
    </row>
    <row r="46" spans="1:5" x14ac:dyDescent="0.35">
      <c r="A46" s="5">
        <v>46153</v>
      </c>
      <c r="B46" s="4" t="s">
        <v>64</v>
      </c>
      <c r="C46" s="4" t="s">
        <v>6</v>
      </c>
      <c r="D46" s="4" t="s">
        <v>17</v>
      </c>
      <c r="E46" s="6">
        <v>610</v>
      </c>
    </row>
    <row r="47" spans="1:5" x14ac:dyDescent="0.35">
      <c r="A47" s="5">
        <v>46168</v>
      </c>
      <c r="B47" s="4" t="s">
        <v>65</v>
      </c>
      <c r="C47" s="4" t="s">
        <v>14</v>
      </c>
      <c r="D47" s="4" t="s">
        <v>10</v>
      </c>
      <c r="E47" s="6">
        <v>890</v>
      </c>
    </row>
    <row r="48" spans="1:5" x14ac:dyDescent="0.35">
      <c r="A48" s="5">
        <v>46180</v>
      </c>
      <c r="B48" s="4" t="s">
        <v>66</v>
      </c>
      <c r="C48" s="4" t="s">
        <v>9</v>
      </c>
      <c r="D48" s="4" t="s">
        <v>12</v>
      </c>
      <c r="E48" s="6">
        <v>720</v>
      </c>
    </row>
    <row r="49" spans="1:5" x14ac:dyDescent="0.35">
      <c r="A49" s="5">
        <v>46192</v>
      </c>
      <c r="B49" s="4" t="s">
        <v>67</v>
      </c>
      <c r="C49" s="4" t="s">
        <v>6</v>
      </c>
      <c r="D49" s="4" t="s">
        <v>7</v>
      </c>
      <c r="E49" s="6">
        <v>960</v>
      </c>
    </row>
    <row r="50" spans="1:5" x14ac:dyDescent="0.35">
      <c r="A50" s="5">
        <v>46208</v>
      </c>
      <c r="B50" s="4" t="s">
        <v>68</v>
      </c>
      <c r="C50" s="4" t="s">
        <v>14</v>
      </c>
      <c r="D50" s="4" t="s">
        <v>17</v>
      </c>
      <c r="E50" s="6">
        <v>850</v>
      </c>
    </row>
    <row r="51" spans="1:5" x14ac:dyDescent="0.35">
      <c r="A51" s="10">
        <v>46255</v>
      </c>
      <c r="B51" s="11" t="s">
        <v>69</v>
      </c>
      <c r="C51" s="11" t="s">
        <v>9</v>
      </c>
      <c r="D51" s="11" t="s">
        <v>10</v>
      </c>
      <c r="E51" s="12">
        <v>990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F0261-3261-42AB-8BB4-F03A417CD948}">
  <dimension ref="A2:B20"/>
  <sheetViews>
    <sheetView workbookViewId="0">
      <selection activeCell="A7" sqref="A2:B20"/>
    </sheetView>
  </sheetViews>
  <sheetFormatPr defaultRowHeight="14.5" x14ac:dyDescent="0.35"/>
  <cols>
    <col min="1" max="1" width="13.7265625" bestFit="1" customWidth="1"/>
    <col min="2" max="2" width="13.6328125" bestFit="1" customWidth="1"/>
  </cols>
  <sheetData>
    <row r="2" spans="1:2" x14ac:dyDescent="0.35">
      <c r="A2" s="1" t="s">
        <v>25</v>
      </c>
      <c r="B2" t="s">
        <v>24</v>
      </c>
    </row>
    <row r="3" spans="1:2" x14ac:dyDescent="0.35">
      <c r="A3" s="2" t="s">
        <v>70</v>
      </c>
      <c r="B3" s="14">
        <v>10870</v>
      </c>
    </row>
    <row r="4" spans="1:2" x14ac:dyDescent="0.35">
      <c r="A4" s="3" t="s">
        <v>27</v>
      </c>
      <c r="B4" s="14">
        <v>1070</v>
      </c>
    </row>
    <row r="5" spans="1:2" x14ac:dyDescent="0.35">
      <c r="A5" s="13">
        <v>45296</v>
      </c>
      <c r="B5" s="14">
        <v>450</v>
      </c>
    </row>
    <row r="6" spans="1:2" x14ac:dyDescent="0.35">
      <c r="A6" s="13">
        <v>45309</v>
      </c>
      <c r="B6" s="14">
        <v>620</v>
      </c>
    </row>
    <row r="7" spans="1:2" x14ac:dyDescent="0.35">
      <c r="A7" s="3" t="s">
        <v>28</v>
      </c>
      <c r="B7" s="14">
        <v>930</v>
      </c>
    </row>
    <row r="8" spans="1:2" x14ac:dyDescent="0.35">
      <c r="A8" s="3" t="s">
        <v>29</v>
      </c>
      <c r="B8" s="14">
        <v>1200</v>
      </c>
    </row>
    <row r="9" spans="1:2" x14ac:dyDescent="0.35">
      <c r="A9" s="3" t="s">
        <v>30</v>
      </c>
      <c r="B9" s="14">
        <v>1070</v>
      </c>
    </row>
    <row r="10" spans="1:2" x14ac:dyDescent="0.35">
      <c r="A10" s="3" t="s">
        <v>71</v>
      </c>
      <c r="B10" s="14">
        <v>1390</v>
      </c>
    </row>
    <row r="11" spans="1:2" x14ac:dyDescent="0.35">
      <c r="A11" s="3" t="s">
        <v>72</v>
      </c>
      <c r="B11" s="14">
        <v>1000</v>
      </c>
    </row>
    <row r="12" spans="1:2" x14ac:dyDescent="0.35">
      <c r="A12" s="3" t="s">
        <v>81</v>
      </c>
      <c r="B12" s="14">
        <v>690</v>
      </c>
    </row>
    <row r="13" spans="1:2" x14ac:dyDescent="0.35">
      <c r="A13" s="3" t="s">
        <v>82</v>
      </c>
      <c r="B13" s="14">
        <v>750</v>
      </c>
    </row>
    <row r="14" spans="1:2" x14ac:dyDescent="0.35">
      <c r="A14" s="3" t="s">
        <v>83</v>
      </c>
      <c r="B14" s="14">
        <v>410</v>
      </c>
    </row>
    <row r="15" spans="1:2" x14ac:dyDescent="0.35">
      <c r="A15" s="3" t="s">
        <v>78</v>
      </c>
      <c r="B15" s="14">
        <v>880</v>
      </c>
    </row>
    <row r="16" spans="1:2" x14ac:dyDescent="0.35">
      <c r="A16" s="3" t="s">
        <v>79</v>
      </c>
      <c r="B16" s="14">
        <v>560</v>
      </c>
    </row>
    <row r="17" spans="1:2" x14ac:dyDescent="0.35">
      <c r="A17" s="3" t="s">
        <v>80</v>
      </c>
      <c r="B17" s="14">
        <v>920</v>
      </c>
    </row>
    <row r="18" spans="1:2" x14ac:dyDescent="0.35">
      <c r="A18" s="2" t="s">
        <v>73</v>
      </c>
      <c r="B18" s="14">
        <v>12800</v>
      </c>
    </row>
    <row r="19" spans="1:2" x14ac:dyDescent="0.35">
      <c r="A19" s="2" t="s">
        <v>31</v>
      </c>
      <c r="B19" s="14">
        <v>11280</v>
      </c>
    </row>
    <row r="20" spans="1:2" x14ac:dyDescent="0.35">
      <c r="A20" s="2" t="s">
        <v>26</v>
      </c>
      <c r="B20" s="14">
        <v>34950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EED0B-3087-4D2E-9870-84F2CC3F9720}">
  <dimension ref="A2:B10"/>
  <sheetViews>
    <sheetView workbookViewId="0">
      <selection activeCell="A5" sqref="A2:B10"/>
    </sheetView>
  </sheetViews>
  <sheetFormatPr defaultRowHeight="14.5" x14ac:dyDescent="0.35"/>
  <cols>
    <col min="1" max="1" width="12.453125" bestFit="1" customWidth="1"/>
    <col min="2" max="2" width="13.6328125" bestFit="1" customWidth="1"/>
  </cols>
  <sheetData>
    <row r="2" spans="1:2" x14ac:dyDescent="0.35">
      <c r="A2" s="1" t="s">
        <v>25</v>
      </c>
      <c r="B2" t="s">
        <v>24</v>
      </c>
    </row>
    <row r="3" spans="1:2" x14ac:dyDescent="0.35">
      <c r="A3" s="2" t="s">
        <v>70</v>
      </c>
      <c r="B3" s="14">
        <v>10870</v>
      </c>
    </row>
    <row r="4" spans="1:2" x14ac:dyDescent="0.35">
      <c r="A4" s="3" t="s">
        <v>74</v>
      </c>
      <c r="B4" s="14">
        <v>3200</v>
      </c>
    </row>
    <row r="5" spans="1:2" x14ac:dyDescent="0.35">
      <c r="A5" s="3" t="s">
        <v>75</v>
      </c>
      <c r="B5" s="14">
        <v>3460</v>
      </c>
    </row>
    <row r="6" spans="1:2" x14ac:dyDescent="0.35">
      <c r="A6" s="3" t="s">
        <v>76</v>
      </c>
      <c r="B6" s="14">
        <v>1850</v>
      </c>
    </row>
    <row r="7" spans="1:2" x14ac:dyDescent="0.35">
      <c r="A7" s="3" t="s">
        <v>77</v>
      </c>
      <c r="B7" s="14">
        <v>2360</v>
      </c>
    </row>
    <row r="8" spans="1:2" x14ac:dyDescent="0.35">
      <c r="A8" s="2" t="s">
        <v>73</v>
      </c>
      <c r="B8" s="14">
        <v>12800</v>
      </c>
    </row>
    <row r="9" spans="1:2" x14ac:dyDescent="0.35">
      <c r="A9" s="2" t="s">
        <v>31</v>
      </c>
      <c r="B9" s="14">
        <v>11280</v>
      </c>
    </row>
    <row r="10" spans="1:2" x14ac:dyDescent="0.35">
      <c r="A10" s="2" t="s">
        <v>26</v>
      </c>
      <c r="B10" s="14">
        <v>34950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5EBF6-AD27-4A90-A84A-E8457F478841}">
  <dimension ref="A1:D37"/>
  <sheetViews>
    <sheetView workbookViewId="0">
      <selection activeCell="H2" sqref="H2"/>
    </sheetView>
  </sheetViews>
  <sheetFormatPr defaultRowHeight="14.5" x14ac:dyDescent="0.35"/>
  <cols>
    <col min="1" max="1" width="10.36328125" bestFit="1" customWidth="1"/>
    <col min="2" max="2" width="13.6328125" bestFit="1" customWidth="1"/>
    <col min="3" max="3" width="15.1796875" bestFit="1" customWidth="1"/>
    <col min="4" max="4" width="17.36328125" bestFit="1" customWidth="1"/>
    <col min="5" max="43" width="3.81640625" bestFit="1" customWidth="1"/>
    <col min="44" max="44" width="10.36328125" bestFit="1" customWidth="1"/>
    <col min="45" max="51" width="4.81640625" bestFit="1" customWidth="1"/>
    <col min="52" max="52" width="10.36328125" bestFit="1" customWidth="1"/>
  </cols>
  <sheetData>
    <row r="1" spans="1:4" x14ac:dyDescent="0.35">
      <c r="A1" s="1" t="s">
        <v>85</v>
      </c>
      <c r="B1" t="s">
        <v>24</v>
      </c>
      <c r="C1" t="s">
        <v>84</v>
      </c>
      <c r="D1" s="15" t="s">
        <v>86</v>
      </c>
    </row>
    <row r="2" spans="1:4" x14ac:dyDescent="0.35">
      <c r="A2" s="2" t="s">
        <v>70</v>
      </c>
      <c r="B2" s="14">
        <v>10870</v>
      </c>
      <c r="C2" s="14">
        <v>18</v>
      </c>
      <c r="D2" cm="1">
        <f t="array" ref="D2:D37">B2:B37/C2:C37</f>
        <v>603.88888888888891</v>
      </c>
    </row>
    <row r="3" spans="1:4" x14ac:dyDescent="0.35">
      <c r="A3" s="3" t="s">
        <v>27</v>
      </c>
      <c r="B3" s="14">
        <v>1070</v>
      </c>
      <c r="C3" s="14">
        <v>2</v>
      </c>
      <c r="D3">
        <v>535</v>
      </c>
    </row>
    <row r="4" spans="1:4" x14ac:dyDescent="0.35">
      <c r="A4" s="3" t="s">
        <v>28</v>
      </c>
      <c r="B4" s="14">
        <v>930</v>
      </c>
      <c r="C4" s="14">
        <v>2</v>
      </c>
      <c r="D4">
        <v>465</v>
      </c>
    </row>
    <row r="5" spans="1:4" x14ac:dyDescent="0.35">
      <c r="A5" s="3" t="s">
        <v>29</v>
      </c>
      <c r="B5" s="14">
        <v>1200</v>
      </c>
      <c r="C5" s="14">
        <v>2</v>
      </c>
      <c r="D5">
        <v>600</v>
      </c>
    </row>
    <row r="6" spans="1:4" x14ac:dyDescent="0.35">
      <c r="A6" s="3" t="s">
        <v>30</v>
      </c>
      <c r="B6" s="14">
        <v>1070</v>
      </c>
      <c r="C6" s="14">
        <v>2</v>
      </c>
      <c r="D6">
        <v>535</v>
      </c>
    </row>
    <row r="7" spans="1:4" x14ac:dyDescent="0.35">
      <c r="A7" s="3" t="s">
        <v>71</v>
      </c>
      <c r="B7" s="14">
        <v>1390</v>
      </c>
      <c r="C7" s="14">
        <v>2</v>
      </c>
      <c r="D7">
        <v>695</v>
      </c>
    </row>
    <row r="8" spans="1:4" x14ac:dyDescent="0.35">
      <c r="A8" s="3" t="s">
        <v>72</v>
      </c>
      <c r="B8" s="14">
        <v>1000</v>
      </c>
      <c r="C8" s="14">
        <v>2</v>
      </c>
      <c r="D8">
        <v>500</v>
      </c>
    </row>
    <row r="9" spans="1:4" x14ac:dyDescent="0.35">
      <c r="A9" s="3" t="s">
        <v>81</v>
      </c>
      <c r="B9" s="14">
        <v>690</v>
      </c>
      <c r="C9" s="14">
        <v>1</v>
      </c>
      <c r="D9">
        <v>690</v>
      </c>
    </row>
    <row r="10" spans="1:4" x14ac:dyDescent="0.35">
      <c r="A10" s="3" t="s">
        <v>82</v>
      </c>
      <c r="B10" s="14">
        <v>750</v>
      </c>
      <c r="C10" s="14">
        <v>1</v>
      </c>
      <c r="D10">
        <v>750</v>
      </c>
    </row>
    <row r="11" spans="1:4" x14ac:dyDescent="0.35">
      <c r="A11" s="3" t="s">
        <v>83</v>
      </c>
      <c r="B11" s="14">
        <v>410</v>
      </c>
      <c r="C11" s="14">
        <v>1</v>
      </c>
      <c r="D11">
        <v>410</v>
      </c>
    </row>
    <row r="12" spans="1:4" x14ac:dyDescent="0.35">
      <c r="A12" s="3" t="s">
        <v>78</v>
      </c>
      <c r="B12" s="14">
        <v>880</v>
      </c>
      <c r="C12" s="14">
        <v>1</v>
      </c>
      <c r="D12">
        <v>880</v>
      </c>
    </row>
    <row r="13" spans="1:4" x14ac:dyDescent="0.35">
      <c r="A13" s="3" t="s">
        <v>79</v>
      </c>
      <c r="B13" s="14">
        <v>560</v>
      </c>
      <c r="C13" s="14">
        <v>1</v>
      </c>
      <c r="D13">
        <v>560</v>
      </c>
    </row>
    <row r="14" spans="1:4" x14ac:dyDescent="0.35">
      <c r="A14" s="3" t="s">
        <v>80</v>
      </c>
      <c r="B14" s="14">
        <v>920</v>
      </c>
      <c r="C14" s="14">
        <v>1</v>
      </c>
      <c r="D14">
        <v>920</v>
      </c>
    </row>
    <row r="15" spans="1:4" x14ac:dyDescent="0.35">
      <c r="A15" s="2" t="s">
        <v>73</v>
      </c>
      <c r="B15" s="14">
        <v>12800</v>
      </c>
      <c r="C15" s="14">
        <v>18</v>
      </c>
      <c r="D15">
        <v>711.11111111111109</v>
      </c>
    </row>
    <row r="16" spans="1:4" x14ac:dyDescent="0.35">
      <c r="A16" s="3" t="s">
        <v>27</v>
      </c>
      <c r="B16" s="14">
        <v>1340</v>
      </c>
      <c r="C16" s="14">
        <v>2</v>
      </c>
      <c r="D16">
        <v>670</v>
      </c>
    </row>
    <row r="17" spans="1:4" x14ac:dyDescent="0.35">
      <c r="A17" s="3" t="s">
        <v>28</v>
      </c>
      <c r="B17" s="14">
        <v>1340</v>
      </c>
      <c r="C17" s="14">
        <v>2</v>
      </c>
      <c r="D17">
        <v>670</v>
      </c>
    </row>
    <row r="18" spans="1:4" x14ac:dyDescent="0.35">
      <c r="A18" s="3" t="s">
        <v>29</v>
      </c>
      <c r="B18" s="14">
        <v>1210</v>
      </c>
      <c r="C18" s="14">
        <v>2</v>
      </c>
      <c r="D18">
        <v>605</v>
      </c>
    </row>
    <row r="19" spans="1:4" x14ac:dyDescent="0.35">
      <c r="A19" s="3" t="s">
        <v>30</v>
      </c>
      <c r="B19" s="14">
        <v>1410</v>
      </c>
      <c r="C19" s="14">
        <v>2</v>
      </c>
      <c r="D19">
        <v>705</v>
      </c>
    </row>
    <row r="20" spans="1:4" x14ac:dyDescent="0.35">
      <c r="A20" s="3" t="s">
        <v>71</v>
      </c>
      <c r="B20" s="14">
        <v>1430</v>
      </c>
      <c r="C20" s="14">
        <v>2</v>
      </c>
      <c r="D20">
        <v>715</v>
      </c>
    </row>
    <row r="21" spans="1:4" x14ac:dyDescent="0.35">
      <c r="A21" s="3" t="s">
        <v>72</v>
      </c>
      <c r="B21" s="14">
        <v>1450</v>
      </c>
      <c r="C21" s="14">
        <v>2</v>
      </c>
      <c r="D21">
        <v>725</v>
      </c>
    </row>
    <row r="22" spans="1:4" x14ac:dyDescent="0.35">
      <c r="A22" s="3" t="s">
        <v>81</v>
      </c>
      <c r="B22" s="14">
        <v>580</v>
      </c>
      <c r="C22" s="14">
        <v>1</v>
      </c>
      <c r="D22">
        <v>580</v>
      </c>
    </row>
    <row r="23" spans="1:4" x14ac:dyDescent="0.35">
      <c r="A23" s="3" t="s">
        <v>82</v>
      </c>
      <c r="B23" s="14">
        <v>840</v>
      </c>
      <c r="C23" s="14">
        <v>1</v>
      </c>
      <c r="D23">
        <v>840</v>
      </c>
    </row>
    <row r="24" spans="1:4" x14ac:dyDescent="0.35">
      <c r="A24" s="3" t="s">
        <v>83</v>
      </c>
      <c r="B24" s="14">
        <v>720</v>
      </c>
      <c r="C24" s="14">
        <v>1</v>
      </c>
      <c r="D24">
        <v>720</v>
      </c>
    </row>
    <row r="25" spans="1:4" x14ac:dyDescent="0.35">
      <c r="A25" s="3" t="s">
        <v>78</v>
      </c>
      <c r="B25" s="14">
        <v>950</v>
      </c>
      <c r="C25" s="14">
        <v>1</v>
      </c>
      <c r="D25">
        <v>950</v>
      </c>
    </row>
    <row r="26" spans="1:4" x14ac:dyDescent="0.35">
      <c r="A26" s="3" t="s">
        <v>79</v>
      </c>
      <c r="B26" s="14">
        <v>640</v>
      </c>
      <c r="C26" s="14">
        <v>1</v>
      </c>
      <c r="D26">
        <v>640</v>
      </c>
    </row>
    <row r="27" spans="1:4" x14ac:dyDescent="0.35">
      <c r="A27" s="3" t="s">
        <v>80</v>
      </c>
      <c r="B27" s="14">
        <v>890</v>
      </c>
      <c r="C27" s="14">
        <v>1</v>
      </c>
      <c r="D27">
        <v>890</v>
      </c>
    </row>
    <row r="28" spans="1:4" x14ac:dyDescent="0.35">
      <c r="A28" s="2" t="s">
        <v>31</v>
      </c>
      <c r="B28" s="14">
        <v>11280</v>
      </c>
      <c r="C28" s="14">
        <v>14</v>
      </c>
      <c r="D28">
        <v>805.71428571428567</v>
      </c>
    </row>
    <row r="29" spans="1:4" x14ac:dyDescent="0.35">
      <c r="A29" s="3" t="s">
        <v>27</v>
      </c>
      <c r="B29" s="14">
        <v>1570</v>
      </c>
      <c r="C29" s="14">
        <v>2</v>
      </c>
      <c r="D29">
        <v>785</v>
      </c>
    </row>
    <row r="30" spans="1:4" x14ac:dyDescent="0.35">
      <c r="A30" s="3" t="s">
        <v>28</v>
      </c>
      <c r="B30" s="14">
        <v>1530</v>
      </c>
      <c r="C30" s="14">
        <v>2</v>
      </c>
      <c r="D30">
        <v>765</v>
      </c>
    </row>
    <row r="31" spans="1:4" x14ac:dyDescent="0.35">
      <c r="A31" s="3" t="s">
        <v>29</v>
      </c>
      <c r="B31" s="14">
        <v>1410</v>
      </c>
      <c r="C31" s="14">
        <v>2</v>
      </c>
      <c r="D31">
        <v>705</v>
      </c>
    </row>
    <row r="32" spans="1:4" x14ac:dyDescent="0.35">
      <c r="A32" s="3" t="s">
        <v>30</v>
      </c>
      <c r="B32" s="14">
        <v>1750</v>
      </c>
      <c r="C32" s="14">
        <v>2</v>
      </c>
      <c r="D32">
        <v>875</v>
      </c>
    </row>
    <row r="33" spans="1:4" x14ac:dyDescent="0.35">
      <c r="A33" s="3" t="s">
        <v>71</v>
      </c>
      <c r="B33" s="14">
        <v>1500</v>
      </c>
      <c r="C33" s="14">
        <v>2</v>
      </c>
      <c r="D33">
        <v>750</v>
      </c>
    </row>
    <row r="34" spans="1:4" x14ac:dyDescent="0.35">
      <c r="A34" s="3" t="s">
        <v>72</v>
      </c>
      <c r="B34" s="14">
        <v>1680</v>
      </c>
      <c r="C34" s="14">
        <v>2</v>
      </c>
      <c r="D34">
        <v>840</v>
      </c>
    </row>
    <row r="35" spans="1:4" x14ac:dyDescent="0.35">
      <c r="A35" s="3" t="s">
        <v>81</v>
      </c>
      <c r="B35" s="14">
        <v>850</v>
      </c>
      <c r="C35" s="14">
        <v>1</v>
      </c>
      <c r="D35">
        <v>850</v>
      </c>
    </row>
    <row r="36" spans="1:4" x14ac:dyDescent="0.35">
      <c r="A36" s="3" t="s">
        <v>82</v>
      </c>
      <c r="B36" s="14">
        <v>990</v>
      </c>
      <c r="C36" s="14">
        <v>1</v>
      </c>
      <c r="D36">
        <v>990</v>
      </c>
    </row>
    <row r="37" spans="1:4" x14ac:dyDescent="0.35">
      <c r="A37" s="2" t="s">
        <v>26</v>
      </c>
      <c r="B37" s="14">
        <v>34950</v>
      </c>
      <c r="C37" s="14">
        <v>50</v>
      </c>
      <c r="D37">
        <v>699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D6FDD-F442-4477-819A-0B92BFFC0703}">
  <dimension ref="A3:C16"/>
  <sheetViews>
    <sheetView tabSelected="1" topLeftCell="A2" workbookViewId="0">
      <selection activeCell="L5" sqref="L5"/>
    </sheetView>
  </sheetViews>
  <sheetFormatPr defaultRowHeight="14.5" x14ac:dyDescent="0.35"/>
  <cols>
    <col min="1" max="1" width="12.453125" bestFit="1" customWidth="1"/>
    <col min="2" max="2" width="13.6328125" bestFit="1" customWidth="1"/>
    <col min="3" max="3" width="15.1796875" bestFit="1" customWidth="1"/>
    <col min="4" max="51" width="4.81640625" bestFit="1" customWidth="1"/>
    <col min="52" max="52" width="10.36328125" bestFit="1" customWidth="1"/>
  </cols>
  <sheetData>
    <row r="3" spans="1:3" x14ac:dyDescent="0.35">
      <c r="A3" s="1" t="s">
        <v>25</v>
      </c>
      <c r="B3" t="s">
        <v>24</v>
      </c>
      <c r="C3" t="s">
        <v>84</v>
      </c>
    </row>
    <row r="4" spans="1:3" x14ac:dyDescent="0.35">
      <c r="A4" s="2" t="s">
        <v>27</v>
      </c>
      <c r="B4" s="14">
        <v>3980</v>
      </c>
      <c r="C4" s="14">
        <v>6</v>
      </c>
    </row>
    <row r="5" spans="1:3" x14ac:dyDescent="0.35">
      <c r="A5" s="2" t="s">
        <v>28</v>
      </c>
      <c r="B5" s="14">
        <v>3800</v>
      </c>
      <c r="C5" s="14">
        <v>6</v>
      </c>
    </row>
    <row r="6" spans="1:3" x14ac:dyDescent="0.35">
      <c r="A6" s="2" t="s">
        <v>29</v>
      </c>
      <c r="B6" s="14">
        <v>3820</v>
      </c>
      <c r="C6" s="14">
        <v>6</v>
      </c>
    </row>
    <row r="7" spans="1:3" x14ac:dyDescent="0.35">
      <c r="A7" s="2" t="s">
        <v>30</v>
      </c>
      <c r="B7" s="14">
        <v>4230</v>
      </c>
      <c r="C7" s="14">
        <v>6</v>
      </c>
    </row>
    <row r="8" spans="1:3" x14ac:dyDescent="0.35">
      <c r="A8" s="2" t="s">
        <v>71</v>
      </c>
      <c r="B8" s="14">
        <v>4320</v>
      </c>
      <c r="C8" s="14">
        <v>6</v>
      </c>
    </row>
    <row r="9" spans="1:3" x14ac:dyDescent="0.35">
      <c r="A9" s="2" t="s">
        <v>72</v>
      </c>
      <c r="B9" s="14">
        <v>4130</v>
      </c>
      <c r="C9" s="14">
        <v>6</v>
      </c>
    </row>
    <row r="10" spans="1:3" x14ac:dyDescent="0.35">
      <c r="A10" s="2" t="s">
        <v>81</v>
      </c>
      <c r="B10" s="14">
        <v>2120</v>
      </c>
      <c r="C10" s="14">
        <v>3</v>
      </c>
    </row>
    <row r="11" spans="1:3" x14ac:dyDescent="0.35">
      <c r="A11" s="2" t="s">
        <v>82</v>
      </c>
      <c r="B11" s="14">
        <v>2580</v>
      </c>
      <c r="C11" s="14">
        <v>3</v>
      </c>
    </row>
    <row r="12" spans="1:3" x14ac:dyDescent="0.35">
      <c r="A12" s="2" t="s">
        <v>83</v>
      </c>
      <c r="B12" s="14">
        <v>1130</v>
      </c>
      <c r="C12" s="14">
        <v>2</v>
      </c>
    </row>
    <row r="13" spans="1:3" x14ac:dyDescent="0.35">
      <c r="A13" s="2" t="s">
        <v>78</v>
      </c>
      <c r="B13" s="14">
        <v>1830</v>
      </c>
      <c r="C13" s="14">
        <v>2</v>
      </c>
    </row>
    <row r="14" spans="1:3" x14ac:dyDescent="0.35">
      <c r="A14" s="2" t="s">
        <v>79</v>
      </c>
      <c r="B14" s="14">
        <v>1200</v>
      </c>
      <c r="C14" s="14">
        <v>2</v>
      </c>
    </row>
    <row r="15" spans="1:3" x14ac:dyDescent="0.35">
      <c r="A15" s="2" t="s">
        <v>80</v>
      </c>
      <c r="B15" s="14">
        <v>1810</v>
      </c>
      <c r="C15" s="14">
        <v>2</v>
      </c>
    </row>
    <row r="16" spans="1:3" x14ac:dyDescent="0.35">
      <c r="A16" s="2" t="s">
        <v>26</v>
      </c>
      <c r="B16" s="14">
        <v>34950</v>
      </c>
      <c r="C16" s="14">
        <v>50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Table</vt:lpstr>
      <vt:lpstr>Task 1</vt:lpstr>
      <vt:lpstr>Task 2</vt:lpstr>
      <vt:lpstr>Task 3</vt:lpstr>
      <vt:lpstr>Task 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Yamini Singh Tomar</dc:creator>
  <cp:lastModifiedBy>Yamini Singh Tomar</cp:lastModifiedBy>
  <dcterms:created xsi:type="dcterms:W3CDTF">2026-09-01T17:35:45Z</dcterms:created>
  <dcterms:modified xsi:type="dcterms:W3CDTF">2026-09-07T15:47:47Z</dcterms:modified>
</cp:coreProperties>
</file>