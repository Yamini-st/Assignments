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Desktop\DATA ANALYTICS\Assignments\Excel\"/>
    </mc:Choice>
  </mc:AlternateContent>
  <xr:revisionPtr revIDLastSave="0" documentId="8_{4A5E1154-B9ED-4A07-AAC1-9B5BC79F88C4}" xr6:coauthVersionLast="47" xr6:coauthVersionMax="47" xr10:uidLastSave="{00000000-0000-0000-0000-000000000000}"/>
  <bookViews>
    <workbookView xWindow="-110" yWindow="-110" windowWidth="19420" windowHeight="10300" firstSheet="1" activeTab="3" xr2:uid="{8AAB6D73-2A31-4683-8C24-3281B526E11C}"/>
  </bookViews>
  <sheets>
    <sheet name="Sheet1" sheetId="1" r:id="rId1"/>
    <sheet name="Restaurant Details" sheetId="2" r:id="rId2"/>
    <sheet name="Pivot Table" sheetId="3" r:id="rId3"/>
    <sheet name="Dashboard" sheetId="4" r:id="rId4"/>
  </sheets>
  <definedNames>
    <definedName name="Slicer_City">#N/A</definedName>
  </definedNames>
  <calcPr calcId="191029"/>
  <pivotCaches>
    <pivotCache cacheId="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2" i="1"/>
</calcChain>
</file>

<file path=xl/sharedStrings.xml><?xml version="1.0" encoding="utf-8"?>
<sst xmlns="http://schemas.openxmlformats.org/spreadsheetml/2006/main" count="203" uniqueCount="83">
  <si>
    <t>Order ID</t>
  </si>
  <si>
    <t>Restaurant ID</t>
  </si>
  <si>
    <t>Delivery Date</t>
  </si>
  <si>
    <t>City</t>
  </si>
  <si>
    <t>Delivery Partner</t>
  </si>
  <si>
    <t>Delivery Time (min)</t>
  </si>
  <si>
    <t>Delivery Charge (₹)</t>
  </si>
  <si>
    <t>O1001</t>
  </si>
  <si>
    <t>R101</t>
  </si>
  <si>
    <t>Ahmedabad</t>
  </si>
  <si>
    <t>Rahul</t>
  </si>
  <si>
    <t>O1002</t>
  </si>
  <si>
    <t>R103</t>
  </si>
  <si>
    <t>Mumbai</t>
  </si>
  <si>
    <t>Priya</t>
  </si>
  <si>
    <t>O1003</t>
  </si>
  <si>
    <t>R102</t>
  </si>
  <si>
    <t>Delhi</t>
  </si>
  <si>
    <t>Amit</t>
  </si>
  <si>
    <t>O1004</t>
  </si>
  <si>
    <t>R105</t>
  </si>
  <si>
    <t>Bangalore</t>
  </si>
  <si>
    <t>Neha</t>
  </si>
  <si>
    <t>O1005</t>
  </si>
  <si>
    <t>O1006</t>
  </si>
  <si>
    <t>R104</t>
  </si>
  <si>
    <t>Rohan</t>
  </si>
  <si>
    <t>O1007</t>
  </si>
  <si>
    <t>R106</t>
  </si>
  <si>
    <t>Sneha</t>
  </si>
  <si>
    <t>O1008</t>
  </si>
  <si>
    <t>O1009</t>
  </si>
  <si>
    <t>R107</t>
  </si>
  <si>
    <t>Arjun</t>
  </si>
  <si>
    <t>O1010</t>
  </si>
  <si>
    <t>O1011</t>
  </si>
  <si>
    <t>R108</t>
  </si>
  <si>
    <t>Karan</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</si>
  <si>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</si>
  <si>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</si>
  <si>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</si>
  <si>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</si>
  <si>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</si>
  <si>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</si>
  <si>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</si>
  <si>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</si>
  <si>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</si>
  <si>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</si>
  <si>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</si>
  <si>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</si>
  <si>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</si>
  <si>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</si>
  <si>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</si>
  <si>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</si>
  <si>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</si>
  <si>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</si>
  <si>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</si>
  <si>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</si>
  <si>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</si>
  <si>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</si>
  <si>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</si>
  <si>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</si>
  <si>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</si>
  <si>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</si>
  <si>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</si>
  <si>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</si>
  <si>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</si>
  <si>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Unassigned</t>
  </si>
  <si>
    <t>Restaurant Name</t>
  </si>
  <si>
    <t>Burger Singh</t>
  </si>
  <si>
    <t>Pizza Paradise</t>
  </si>
  <si>
    <t>Biryani Blues</t>
  </si>
  <si>
    <t>The Chinese Wok</t>
  </si>
  <si>
    <t>Cafe Delhi Heights</t>
  </si>
  <si>
    <t>Wow! Momo</t>
  </si>
  <si>
    <t>Subway</t>
  </si>
  <si>
    <t>Domino's Pizza</t>
  </si>
  <si>
    <t>Day of Week</t>
  </si>
  <si>
    <t>=</t>
  </si>
  <si>
    <t>Row Labels</t>
  </si>
  <si>
    <t>Grand Total</t>
  </si>
  <si>
    <t>Count of Order ID</t>
  </si>
  <si>
    <t>Sum of Delivery Charge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</si>
</sst>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8" tint="0.79998168889431442"/>
      <name val="Aptos Narrow"/>
      <family val="2"/>
      <scheme val="minor"/>
    </font>
  </fonts>
  <fills count="3">
    <fill>
      <patternFill patternType="none"/>
    </fill>
    <fill>
      <patternFill patternType="gray125"/>
    </fill>
    <fill>
      <patternFill patternType="solid">
        <fgColor rgb="FFF7E1F5"/>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1" fillId="0" borderId="0" xfId="0" applyFont="1" applyAlignment="1">
      <alignment horizontal="center" vertical="center"/>
    </xf>
    <xf numFmtId="0" fontId="1" fillId="0" borderId="0" xfId="0" applyFont="1" applyAlignment="1">
      <alignment horizontal="right" vertical="center"/>
    </xf>
    <xf numFmtId="0" fontId="0" fillId="0" borderId="0" xfId="0" applyAlignment="1">
      <alignment vertical="center"/>
    </xf>
    <xf numFmtId="14" fontId="0" fillId="0" borderId="0" xfId="0" applyNumberFormat="1" applyAlignment="1">
      <alignment vertical="center"/>
    </xf>
    <xf numFmtId="0" fontId="0" fillId="0" borderId="0" xfId="0" applyAlignment="1">
      <alignment horizontal="right" vertical="center"/>
    </xf>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2" fillId="2" borderId="0" xfId="0" applyFont="1" applyFill="1"/>
  </cellXfs>
  <cellStyles count="1">
    <cellStyle name="Normal" xfId="0" builtinId="0"/>
  </cellStyles>
  <dxfs count="14">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9" formatCode="dd/mm/yy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9" formatCode="dd/mm/yy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colors>
    <mruColors>
      <color rgb="FFF7E1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[Session 21.xlsx]Pivot Table!PivotTable1</c:name>
    <c:fmtId val="0"/>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Count of Order ID</c:v>
                </c:pt>
              </c:strCache>
            </c:strRef>
          </c:tx>
          <c:spPr>
            <a:solidFill>
              <a:schemeClr val="accent5">
                <a:shade val="76000"/>
              </a:schemeClr>
            </a:solidFill>
            <a:ln>
              <a:noFill/>
            </a:ln>
            <a:effectLst/>
          </c:spPr>
          <c:invertIfNegative val="0"/>
          <c:cat>
            <c:strRef>
              <c:f>'Pivot Table'!$A$4:$A$8</c:f>
              <c:strCache>
                <c:ptCount val="4"/>
                <c:pt idx="0">
                  <c:v>Ahmedabad</c:v>
                </c:pt>
                <c:pt idx="1">
                  <c:v>Bangalore</c:v>
                </c:pt>
                <c:pt idx="2">
                  <c:v>Delhi</c:v>
                </c:pt>
                <c:pt idx="3">
                  <c:v>Mumbai</c:v>
                </c:pt>
              </c:strCache>
            </c:strRef>
          </c:cat>
          <c:val>
            <c:numRef>
              <c:f>'Pivot Table'!$B$4:$B$8</c:f>
              <c:numCache>
                <c:formatCode>General</c:formatCode>
                <c:ptCount val="4"/>
                <c:pt idx="0">
                  <c:v>10</c:v>
                </c:pt>
                <c:pt idx="1">
                  <c:v>10</c:v>
                </c:pt>
                <c:pt idx="2">
                  <c:v>10</c:v>
                </c:pt>
                <c:pt idx="3">
                  <c:v>10</c:v>
                </c:pt>
              </c:numCache>
            </c:numRef>
          </c:val>
          <c:extLst>
            <c:ext xmlns:c16="http://schemas.microsoft.com/office/drawing/2014/chart" uri="{C3380CC4-5D6E-409C-BE32-E72D297353CC}">
              <c16:uniqueId val="{00000000-C913-45EA-A8DC-2CD2E89AD6D7}"/>
            </c:ext>
          </c:extLst>
        </c:ser>
        <c:ser>
          <c:idx val="1"/>
          <c:order val="1"/>
          <c:tx>
            <c:strRef>
              <c:f>'Pivot Table'!$C$3</c:f>
              <c:strCache>
                <c:ptCount val="1"/>
                <c:pt idx="0">
                  <c:v>Sum of Delivery Charge (₹)</c:v>
                </c:pt>
              </c:strCache>
            </c:strRef>
          </c:tx>
          <c:spPr>
            <a:solidFill>
              <a:schemeClr val="accent5">
                <a:tint val="77000"/>
              </a:schemeClr>
            </a:solidFill>
            <a:ln>
              <a:noFill/>
            </a:ln>
            <a:effectLst/>
          </c:spPr>
          <c:invertIfNegative val="0"/>
          <c:cat>
            <c:strRef>
              <c:f>'Pivot Table'!$A$4:$A$8</c:f>
              <c:strCache>
                <c:ptCount val="4"/>
                <c:pt idx="0">
                  <c:v>Ahmedabad</c:v>
                </c:pt>
                <c:pt idx="1">
                  <c:v>Bangalore</c:v>
                </c:pt>
                <c:pt idx="2">
                  <c:v>Delhi</c:v>
                </c:pt>
                <c:pt idx="3">
                  <c:v>Mumbai</c:v>
                </c:pt>
              </c:strCache>
            </c:strRef>
          </c:cat>
          <c:val>
            <c:numRef>
              <c:f>'Pivot Table'!$C$4:$C$8</c:f>
              <c:numCache>
                <c:formatCode>General</c:formatCode>
                <c:ptCount val="4"/>
                <c:pt idx="0">
                  <c:v>310</c:v>
                </c:pt>
                <c:pt idx="1">
                  <c:v>370</c:v>
                </c:pt>
                <c:pt idx="2">
                  <c:v>400</c:v>
                </c:pt>
                <c:pt idx="3">
                  <c:v>405</c:v>
                </c:pt>
              </c:numCache>
            </c:numRef>
          </c:val>
          <c:extLst>
            <c:ext xmlns:c16="http://schemas.microsoft.com/office/drawing/2014/chart" uri="{C3380CC4-5D6E-409C-BE32-E72D297353CC}">
              <c16:uniqueId val="{00000001-C913-45EA-A8DC-2CD2E89AD6D7}"/>
            </c:ext>
          </c:extLst>
        </c:ser>
        <c:dLbls>
          <c:showLegendKey val="0"/>
          <c:showVal val="0"/>
          <c:showCatName val="0"/>
          <c:showSerName val="0"/>
          <c:showPercent val="0"/>
          <c:showBubbleSize val="0"/>
        </c:dLbls>
        <c:gapWidth val="219"/>
        <c:overlap val="-27"/>
        <c:axId val="1665417376"/>
        <c:axId val="1478102160"/>
      </c:barChart>
      <c:catAx>
        <c:axId val="166541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102160"/>
        <c:crosses val="autoZero"/>
        <c:auto val="1"/>
        <c:lblAlgn val="ctr"/>
        <c:lblOffset val="100"/>
        <c:noMultiLvlLbl val="0"/>
      </c:catAx>
      <c:valAx>
        <c:axId val="147810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41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21.xlsx]Pivot Table!PivotTable3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Table'!$B$25</c:f>
              <c:strCache>
                <c:ptCount val="1"/>
                <c:pt idx="0">
                  <c:v>Total</c:v>
                </c:pt>
              </c:strCache>
            </c:strRef>
          </c:tx>
          <c:spPr>
            <a:solidFill>
              <a:schemeClr val="accent1"/>
            </a:solidFill>
            <a:ln>
              <a:noFill/>
            </a:ln>
            <a:effectLst/>
          </c:spPr>
          <c:invertIfNegative val="0"/>
          <c:cat>
            <c:strRef>
              <c:f>'Pivot Table'!$A$26:$A$29</c:f>
              <c:strCache>
                <c:ptCount val="3"/>
                <c:pt idx="0">
                  <c:v>Biryani Blues</c:v>
                </c:pt>
                <c:pt idx="1">
                  <c:v>Burger Singh</c:v>
                </c:pt>
                <c:pt idx="2">
                  <c:v>The Chinese Wok</c:v>
                </c:pt>
              </c:strCache>
            </c:strRef>
          </c:cat>
          <c:val>
            <c:numRef>
              <c:f>'Pivot Table'!$B$26:$B$29</c:f>
              <c:numCache>
                <c:formatCode>General</c:formatCode>
                <c:ptCount val="3"/>
                <c:pt idx="0">
                  <c:v>6</c:v>
                </c:pt>
                <c:pt idx="1">
                  <c:v>6</c:v>
                </c:pt>
                <c:pt idx="2">
                  <c:v>5</c:v>
                </c:pt>
              </c:numCache>
            </c:numRef>
          </c:val>
          <c:extLst>
            <c:ext xmlns:c16="http://schemas.microsoft.com/office/drawing/2014/chart" uri="{C3380CC4-5D6E-409C-BE32-E72D297353CC}">
              <c16:uniqueId val="{00000000-812B-448E-B0FA-B7C0CEE3D3D6}"/>
            </c:ext>
          </c:extLst>
        </c:ser>
        <c:dLbls>
          <c:showLegendKey val="0"/>
          <c:showVal val="0"/>
          <c:showCatName val="0"/>
          <c:showSerName val="0"/>
          <c:showPercent val="0"/>
          <c:showBubbleSize val="0"/>
        </c:dLbls>
        <c:gapWidth val="182"/>
        <c:axId val="1669326272"/>
        <c:axId val="1802631664"/>
      </c:barChart>
      <c:catAx>
        <c:axId val="166932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631664"/>
        <c:crosses val="autoZero"/>
        <c:auto val="1"/>
        <c:lblAlgn val="ctr"/>
        <c:lblOffset val="100"/>
        <c:noMultiLvlLbl val="0"/>
      </c:catAx>
      <c:valAx>
        <c:axId val="180263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32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[Session 21.xlsx]Pivot Table!PivotTable3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Table'!$B$25</c:f>
              <c:strCache>
                <c:ptCount val="1"/>
                <c:pt idx="0">
                  <c:v>Total</c:v>
                </c:pt>
              </c:strCache>
            </c:strRef>
          </c:tx>
          <c:spPr>
            <a:solidFill>
              <a:schemeClr val="accent5"/>
            </a:solidFill>
            <a:ln>
              <a:noFill/>
            </a:ln>
            <a:effectLst/>
          </c:spPr>
          <c:invertIfNegative val="0"/>
          <c:cat>
            <c:strRef>
              <c:f>'Pivot Table'!$A$26:$A$29</c:f>
              <c:strCache>
                <c:ptCount val="3"/>
                <c:pt idx="0">
                  <c:v>Biryani Blues</c:v>
                </c:pt>
                <c:pt idx="1">
                  <c:v>Burger Singh</c:v>
                </c:pt>
                <c:pt idx="2">
                  <c:v>The Chinese Wok</c:v>
                </c:pt>
              </c:strCache>
            </c:strRef>
          </c:cat>
          <c:val>
            <c:numRef>
              <c:f>'Pivot Table'!$B$26:$B$29</c:f>
              <c:numCache>
                <c:formatCode>General</c:formatCode>
                <c:ptCount val="3"/>
                <c:pt idx="0">
                  <c:v>6</c:v>
                </c:pt>
                <c:pt idx="1">
                  <c:v>6</c:v>
                </c:pt>
                <c:pt idx="2">
                  <c:v>5</c:v>
                </c:pt>
              </c:numCache>
            </c:numRef>
          </c:val>
          <c:extLst>
            <c:ext xmlns:c16="http://schemas.microsoft.com/office/drawing/2014/chart" uri="{C3380CC4-5D6E-409C-BE32-E72D297353CC}">
              <c16:uniqueId val="{00000000-23CC-4734-A092-26505231095A}"/>
            </c:ext>
          </c:extLst>
        </c:ser>
        <c:dLbls>
          <c:showLegendKey val="0"/>
          <c:showVal val="0"/>
          <c:showCatName val="0"/>
          <c:showSerName val="0"/>
          <c:showPercent val="0"/>
          <c:showBubbleSize val="0"/>
        </c:dLbls>
        <c:gapWidth val="182"/>
        <c:axId val="1669326272"/>
        <c:axId val="1802631664"/>
      </c:barChart>
      <c:catAx>
        <c:axId val="166932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631664"/>
        <c:crosses val="autoZero"/>
        <c:auto val="1"/>
        <c:lblAlgn val="ctr"/>
        <c:lblOffset val="100"/>
        <c:noMultiLvlLbl val="0"/>
      </c:catAx>
      <c:valAx>
        <c:axId val="180263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32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[Session 21.xlsx]Pivot Table!PivotTable1</c:name>
    <c:fmtId val="6"/>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Count of Order ID</c:v>
                </c:pt>
              </c:strCache>
            </c:strRef>
          </c:tx>
          <c:spPr>
            <a:solidFill>
              <a:schemeClr val="accent5">
                <a:shade val="76000"/>
              </a:schemeClr>
            </a:solidFill>
            <a:ln>
              <a:noFill/>
            </a:ln>
            <a:effectLst/>
          </c:spPr>
          <c:invertIfNegative val="0"/>
          <c:cat>
            <c:strRef>
              <c:f>'Pivot Table'!$A$4:$A$8</c:f>
              <c:strCache>
                <c:ptCount val="4"/>
                <c:pt idx="0">
                  <c:v>Ahmedabad</c:v>
                </c:pt>
                <c:pt idx="1">
                  <c:v>Bangalore</c:v>
                </c:pt>
                <c:pt idx="2">
                  <c:v>Delhi</c:v>
                </c:pt>
                <c:pt idx="3">
                  <c:v>Mumbai</c:v>
                </c:pt>
              </c:strCache>
            </c:strRef>
          </c:cat>
          <c:val>
            <c:numRef>
              <c:f>'Pivot Table'!$B$4:$B$8</c:f>
              <c:numCache>
                <c:formatCode>General</c:formatCode>
                <c:ptCount val="4"/>
                <c:pt idx="0">
                  <c:v>10</c:v>
                </c:pt>
                <c:pt idx="1">
                  <c:v>10</c:v>
                </c:pt>
                <c:pt idx="2">
                  <c:v>10</c:v>
                </c:pt>
                <c:pt idx="3">
                  <c:v>10</c:v>
                </c:pt>
              </c:numCache>
            </c:numRef>
          </c:val>
          <c:extLst>
            <c:ext xmlns:c16="http://schemas.microsoft.com/office/drawing/2014/chart" uri="{C3380CC4-5D6E-409C-BE32-E72D297353CC}">
              <c16:uniqueId val="{00000000-B8B3-47C8-9C9E-84A423043DD9}"/>
            </c:ext>
          </c:extLst>
        </c:ser>
        <c:ser>
          <c:idx val="1"/>
          <c:order val="1"/>
          <c:tx>
            <c:strRef>
              <c:f>'Pivot Table'!$C$3</c:f>
              <c:strCache>
                <c:ptCount val="1"/>
                <c:pt idx="0">
                  <c:v>Sum of Delivery Charge (₹)</c:v>
                </c:pt>
              </c:strCache>
            </c:strRef>
          </c:tx>
          <c:spPr>
            <a:solidFill>
              <a:schemeClr val="accent5">
                <a:tint val="77000"/>
              </a:schemeClr>
            </a:solidFill>
            <a:ln>
              <a:noFill/>
            </a:ln>
            <a:effectLst/>
          </c:spPr>
          <c:invertIfNegative val="0"/>
          <c:cat>
            <c:strRef>
              <c:f>'Pivot Table'!$A$4:$A$8</c:f>
              <c:strCache>
                <c:ptCount val="4"/>
                <c:pt idx="0">
                  <c:v>Ahmedabad</c:v>
                </c:pt>
                <c:pt idx="1">
                  <c:v>Bangalore</c:v>
                </c:pt>
                <c:pt idx="2">
                  <c:v>Delhi</c:v>
                </c:pt>
                <c:pt idx="3">
                  <c:v>Mumbai</c:v>
                </c:pt>
              </c:strCache>
            </c:strRef>
          </c:cat>
          <c:val>
            <c:numRef>
              <c:f>'Pivot Table'!$C$4:$C$8</c:f>
              <c:numCache>
                <c:formatCode>General</c:formatCode>
                <c:ptCount val="4"/>
                <c:pt idx="0">
                  <c:v>310</c:v>
                </c:pt>
                <c:pt idx="1">
                  <c:v>370</c:v>
                </c:pt>
                <c:pt idx="2">
                  <c:v>400</c:v>
                </c:pt>
                <c:pt idx="3">
                  <c:v>405</c:v>
                </c:pt>
              </c:numCache>
            </c:numRef>
          </c:val>
          <c:extLst>
            <c:ext xmlns:c16="http://schemas.microsoft.com/office/drawing/2014/chart" uri="{C3380CC4-5D6E-409C-BE32-E72D297353CC}">
              <c16:uniqueId val="{00000001-B8B3-47C8-9C9E-84A423043DD9}"/>
            </c:ext>
          </c:extLst>
        </c:ser>
        <c:dLbls>
          <c:showLegendKey val="0"/>
          <c:showVal val="0"/>
          <c:showCatName val="0"/>
          <c:showSerName val="0"/>
          <c:showPercent val="0"/>
          <c:showBubbleSize val="0"/>
        </c:dLbls>
        <c:gapWidth val="219"/>
        <c:overlap val="-27"/>
        <c:axId val="1665417376"/>
        <c:axId val="1478102160"/>
      </c:barChart>
      <c:catAx>
        <c:axId val="166541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102160"/>
        <c:crosses val="autoZero"/>
        <c:auto val="1"/>
        <c:lblAlgn val="ctr"/>
        <c:lblOffset val="100"/>
        <c:noMultiLvlLbl val="0"/>
      </c:catAx>
      <c:valAx>
        <c:axId val="147810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41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101600</xdr:colOff>
      <xdr:row>2</xdr:row>
      <xdr:rowOff>12700</xdr:rowOff>
    </xdr:from>
    <xdr:to>
      <xdr:col>9</xdr:col>
      <xdr:colOff>76200</xdr:colOff>
      <xdr:row>13</xdr:row>
      <xdr:rowOff>127000</xdr:rowOff>
    </xdr:to>
    <xdr:graphicFrame macro="">
      <xdr:nvGraphicFramePr>
        <xdr:cNvPr id="2" name="Chart 1">
          <a:extLst>
            <a:ext uri="{FF2B5EF4-FFF2-40B4-BE49-F238E27FC236}">
              <a16:creationId xmlns:a16="http://schemas.microsoft.com/office/drawing/2014/main" id="{2831478E-491D-1FD5-9B32-EFBCFD905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800100</xdr:colOff>
      <xdr:row>18</xdr:row>
      <xdr:rowOff>53975</xdr:rowOff>
    </xdr:from>
    <xdr:to>
      <xdr:col>9</xdr:col>
      <xdr:colOff>107950</xdr:colOff>
      <xdr:row>33</xdr:row>
      <xdr:rowOff>34925</xdr:rowOff>
    </xdr:to>
    <xdr:graphicFrame macro="">
      <xdr:nvGraphicFramePr>
        <xdr:cNvPr id="3" name="Chart 2">
          <a:extLst>
            <a:ext uri="{FF2B5EF4-FFF2-40B4-BE49-F238E27FC236}">
              <a16:creationId xmlns:a16="http://schemas.microsoft.com/office/drawing/2014/main" id="{EDF580ED-28F0-FFC2-160B-24E6513A1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177800</xdr:colOff>
      <xdr:row>0</xdr:row>
      <xdr:rowOff>107950</xdr:rowOff>
    </xdr:from>
    <xdr:to>
      <xdr:col>13</xdr:col>
      <xdr:colOff>31750</xdr:colOff>
      <xdr:row>3</xdr:row>
      <xdr:rowOff>171450</xdr:rowOff>
    </xdr:to>
    <xdr:sp macro="" textlink="">
      <xdr:nvSpPr>
        <xdr:cNvPr id="2" name="Rectangle 1">
          <a:extLst>
            <a:ext uri="{FF2B5EF4-FFF2-40B4-BE49-F238E27FC236}">
              <a16:creationId xmlns:a16="http://schemas.microsoft.com/office/drawing/2014/main" id="{8BB8146E-0F12-F21C-4114-03455F77C7E7}"/>
            </a:ext>
          </a:extLst>
        </xdr:cNvPr>
        <xdr:cNvSpPr/>
      </xdr:nvSpPr>
      <xdr:spPr>
        <a:xfrm>
          <a:off x="177800" y="107950"/>
          <a:ext cx="7778750" cy="615950"/>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a:t>Food Delivery Analytics Dashboard</a:t>
          </a:r>
          <a:r>
            <a:rPr lang="en-IN" sz="2800"/>
            <a:t> </a:t>
          </a:r>
        </a:p>
      </xdr:txBody>
    </xdr:sp>
    <xdr:clientData/>
  </xdr:twoCellAnchor>
  <xdr:twoCellAnchor>
    <xdr:from>
      <xdr:col>0</xdr:col>
      <xdr:colOff>101600</xdr:colOff>
      <xdr:row>4</xdr:row>
      <xdr:rowOff>114300</xdr:rowOff>
    </xdr:from>
    <xdr:to>
      <xdr:col>3</xdr:col>
      <xdr:colOff>558800</xdr:colOff>
      <xdr:row>9</xdr:row>
      <xdr:rowOff>63500</xdr:rowOff>
    </xdr:to>
    <xdr:sp macro="" textlink="">
      <xdr:nvSpPr>
        <xdr:cNvPr id="3" name="Rectangle: Rounded Corners 2">
          <a:extLst>
            <a:ext uri="{FF2B5EF4-FFF2-40B4-BE49-F238E27FC236}">
              <a16:creationId xmlns:a16="http://schemas.microsoft.com/office/drawing/2014/main" id="{2508659D-AE00-42CE-DFF4-3F990587D6D1}"/>
            </a:ext>
          </a:extLst>
        </xdr:cNvPr>
        <xdr:cNvSpPr/>
      </xdr:nvSpPr>
      <xdr:spPr>
        <a:xfrm>
          <a:off x="101600" y="850900"/>
          <a:ext cx="2286000" cy="86995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2000">
              <a:solidFill>
                <a:schemeClr val="bg1"/>
              </a:solidFill>
            </a:rPr>
            <a:t>Total Orders</a:t>
          </a:r>
        </a:p>
        <a:p>
          <a:pPr algn="ctr"/>
          <a:r>
            <a:rPr lang="en-IN" sz="2000" b="0" i="0" u="none" strike="noStrike">
              <a:solidFill>
                <a:schemeClr val="bg1"/>
              </a:solidFill>
              <a:effectLst/>
              <a:latin typeface="+mn-lt"/>
              <a:ea typeface="+mn-ea"/>
              <a:cs typeface="+mn-cs"/>
            </a:rPr>
            <a:t>40</a:t>
          </a:r>
          <a:r>
            <a:rPr lang="en-IN" sz="2000">
              <a:solidFill>
                <a:schemeClr val="bg1"/>
              </a:solidFill>
              <a:effectLst/>
            </a:rPr>
            <a:t> </a:t>
          </a:r>
          <a:endParaRPr lang="en-IN" sz="2000">
            <a:solidFill>
              <a:schemeClr val="bg1"/>
            </a:solidFill>
          </a:endParaRPr>
        </a:p>
      </xdr:txBody>
    </xdr:sp>
    <xdr:clientData/>
  </xdr:twoCellAnchor>
  <xdr:twoCellAnchor>
    <xdr:from>
      <xdr:col>4</xdr:col>
      <xdr:colOff>190500</xdr:colOff>
      <xdr:row>4</xdr:row>
      <xdr:rowOff>107950</xdr:rowOff>
    </xdr:from>
    <xdr:to>
      <xdr:col>8</xdr:col>
      <xdr:colOff>234950</xdr:colOff>
      <xdr:row>9</xdr:row>
      <xdr:rowOff>63500</xdr:rowOff>
    </xdr:to>
    <xdr:sp macro="" textlink="">
      <xdr:nvSpPr>
        <xdr:cNvPr id="5" name="Rectangle: Rounded Corners 4">
          <a:extLst>
            <a:ext uri="{FF2B5EF4-FFF2-40B4-BE49-F238E27FC236}">
              <a16:creationId xmlns:a16="http://schemas.microsoft.com/office/drawing/2014/main" id="{39246B98-2EBF-40BC-A1CB-F06A6E3B7ADA}"/>
            </a:ext>
          </a:extLst>
        </xdr:cNvPr>
        <xdr:cNvSpPr/>
      </xdr:nvSpPr>
      <xdr:spPr>
        <a:xfrm>
          <a:off x="2628900" y="844550"/>
          <a:ext cx="2482850" cy="8763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2000" b="0">
              <a:solidFill>
                <a:schemeClr val="bg1"/>
              </a:solidFill>
            </a:rPr>
            <a:t>Average Delivery Time</a:t>
          </a:r>
          <a:r>
            <a:rPr lang="en-IN" sz="2000" b="0" baseline="0">
              <a:solidFill>
                <a:schemeClr val="bg1"/>
              </a:solidFill>
            </a:rPr>
            <a:t> </a:t>
          </a:r>
        </a:p>
        <a:p>
          <a:pPr algn="ctr"/>
          <a:r>
            <a:rPr lang="en-IN" sz="2000" b="0" i="0" u="none" strike="noStrike">
              <a:solidFill>
                <a:schemeClr val="bg1"/>
              </a:solidFill>
              <a:effectLst/>
              <a:latin typeface="+mn-lt"/>
              <a:ea typeface="+mn-ea"/>
              <a:cs typeface="+mn-cs"/>
            </a:rPr>
            <a:t>35.475</a:t>
          </a:r>
          <a:endParaRPr lang="en-IN" sz="3200" b="0">
            <a:solidFill>
              <a:schemeClr val="bg1"/>
            </a:solidFill>
          </a:endParaRPr>
        </a:p>
      </xdr:txBody>
    </xdr:sp>
    <xdr:clientData/>
  </xdr:twoCellAnchor>
  <xdr:twoCellAnchor>
    <xdr:from>
      <xdr:col>0</xdr:col>
      <xdr:colOff>101600</xdr:colOff>
      <xdr:row>10</xdr:row>
      <xdr:rowOff>133350</xdr:rowOff>
    </xdr:from>
    <xdr:to>
      <xdr:col>6</xdr:col>
      <xdr:colOff>406400</xdr:colOff>
      <xdr:row>23</xdr:row>
      <xdr:rowOff>57150</xdr:rowOff>
    </xdr:to>
    <xdr:graphicFrame macro="">
      <xdr:nvGraphicFramePr>
        <xdr:cNvPr id="7" name="Chart 6">
          <a:extLst>
            <a:ext uri="{FF2B5EF4-FFF2-40B4-BE49-F238E27FC236}">
              <a16:creationId xmlns:a16="http://schemas.microsoft.com/office/drawing/2014/main" id="{D70F3905-91B7-470B-A9CF-B19E34B6E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539750</xdr:colOff>
      <xdr:row>10</xdr:row>
      <xdr:rowOff>133350</xdr:rowOff>
    </xdr:from>
    <xdr:to>
      <xdr:col>13</xdr:col>
      <xdr:colOff>203200</xdr:colOff>
      <xdr:row>23</xdr:row>
      <xdr:rowOff>57150</xdr:rowOff>
    </xdr:to>
    <xdr:graphicFrame macro="">
      <xdr:nvGraphicFramePr>
        <xdr:cNvPr id="8" name="Chart 7">
          <a:extLst>
            <a:ext uri="{FF2B5EF4-FFF2-40B4-BE49-F238E27FC236}">
              <a16:creationId xmlns:a16="http://schemas.microsoft.com/office/drawing/2014/main" id="{BBA2AC32-A4A0-4AB4-BD29-66FAC2543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514350</xdr:colOff>
      <xdr:row>4</xdr:row>
      <xdr:rowOff>101600</xdr:rowOff>
    </xdr:from>
    <xdr:to>
      <xdr:col>13</xdr:col>
      <xdr:colOff>38100</xdr:colOff>
      <xdr:row>9</xdr:row>
      <xdr:rowOff>152400</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BA404DEE-A2D9-4F71-902A-E2F2921D36B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391150" y="838200"/>
              <a:ext cx="2571750"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mini Singh Tomar" refreshedDate="46274.787596759263" createdVersion="8" refreshedVersion="8" minRefreshableVersion="3" recordCount="40" xr:uid="{D8FBBCF9-1353-4FA0-B50C-2FC684C3D810}">
  <cacheSource type="worksheet">
    <worksheetSource name="Table1"/>
  </cacheSource>
  <cacheFields count="11">
    <cacheField name="Order ID" numFmtId="0">
      <sharedItems/>
    </cacheField>
    <cacheField name="Restaurant ID" numFmtId="0">
      <sharedItems/>
    </cacheField>
    <cacheField name="Delivery Date" numFmtId="14">
      <sharedItems containsSemiMixedTypes="0" containsNonDate="0" containsDate="1" containsString="0" minDate="2026-09-01T00:00:00" maxDate="2026-10-11T00:00:00" count="4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sharedItems>
      <fieldGroup par="10"/>
    </cacheField>
    <cacheField name="City" numFmtId="0">
      <sharedItems count="4">
        <s v="Ahmedabad"/>
        <s v="Mumbai"/>
        <s v="Delhi"/>
        <s v="Bangalore"/>
      </sharedItems>
    </cacheField>
    <cacheField name="Delivery Partner" numFmtId="0">
      <sharedItems/>
    </cacheField>
    <cacheField name="Delivery Time (min)" numFmtId="0">
      <sharedItems containsSemiMixedTypes="0" containsString="0" containsNumber="1" containsInteger="1" minValue="26" maxValue="47"/>
    </cacheField>
    <cacheField name="Delivery Charge (₹)" numFmtId="0">
      <sharedItems containsSemiMixedTypes="0" containsString="0" containsNumber="1" containsInteger="1" minValue="25" maxValue="50"/>
    </cacheField>
    <cacheField name="Restaurant Name" numFmtId="0">
      <sharedItems count="8">
        <s v="Burger Singh"/>
        <s v="Biryani Blues"/>
        <s v="Pizza Paradise"/>
        <s v="Cafe Delhi Heights"/>
        <s v="The Chinese Wok"/>
        <s v="Wow! Momo"/>
        <s v="Subway"/>
        <s v="Domino's Pizza"/>
      </sharedItems>
    </cacheField>
    <cacheField name="Day of Week" numFmtId="0">
      <sharedItems/>
    </cacheField>
    <cacheField name="Days (Delivery Date)" numFmtId="0" databaseField="0">
      <fieldGroup base="2">
        <rangePr groupBy="days" startDate="2026-09-01T00:00:00" endDate="2026-10-11T00:00:00"/>
        <groupItems count="368">
          <s v="&lt;01-09-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10-2026"/>
        </groupItems>
      </fieldGroup>
    </cacheField>
    <cacheField name="Months (Delivery Date)" numFmtId="0" databaseField="0">
      <fieldGroup base="2">
        <rangePr groupBy="months" startDate="2026-09-01T00:00:00" endDate="2026-10-11T00:00:00"/>
        <groupItems count="14">
          <s v="&lt;01-09-2026"/>
          <s v="Jan"/>
          <s v="Feb"/>
          <s v="Mar"/>
          <s v="Apr"/>
          <s v="May"/>
          <s v="Jun"/>
          <s v="Jul"/>
          <s v="Aug"/>
          <s v="Sep"/>
          <s v="Oct"/>
          <s v="Nov"/>
          <s v="Dec"/>
          <s v="&gt;11-10-2026"/>
        </groupItems>
      </fieldGroup>
    </cacheField>
  </cacheFields>
  <extLst>
    <ext xmlns:x14="http://schemas.microsoft.com/office/spreadsheetml/2009/9/main" uri="{725AE2AE-9491-48be-B2B4-4EB974FC3084}">
      <x14:pivotCacheDefinition pivotCacheId="3164451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O1001"/>
    <s v="R101"/>
    <x v="0"/>
    <x v="0"/>
    <s v="Rahul"/>
    <n v="32"/>
    <n v="35"/>
    <x v="0"/>
    <s v="Tuesday"/>
  </r>
  <r>
    <s v="O1002"/>
    <s v="R103"/>
    <x v="1"/>
    <x v="1"/>
    <s v="Priya"/>
    <n v="41"/>
    <n v="40"/>
    <x v="1"/>
    <s v="Wednesday"/>
  </r>
  <r>
    <s v="O1003"/>
    <s v="R102"/>
    <x v="2"/>
    <x v="2"/>
    <s v="Amit"/>
    <n v="28"/>
    <n v="30"/>
    <x v="2"/>
    <s v="Thursday"/>
  </r>
  <r>
    <s v="O1004"/>
    <s v="R105"/>
    <x v="3"/>
    <x v="3"/>
    <s v="Neha"/>
    <n v="36"/>
    <n v="35"/>
    <x v="3"/>
    <s v="Friday"/>
  </r>
  <r>
    <s v="O1005"/>
    <s v="R101"/>
    <x v="4"/>
    <x v="0"/>
    <s v="Unassigned"/>
    <n v="30"/>
    <n v="30"/>
    <x v="0"/>
    <s v="Saturday"/>
  </r>
  <r>
    <s v="O1006"/>
    <s v="R104"/>
    <x v="5"/>
    <x v="1"/>
    <s v="Rohan"/>
    <n v="45"/>
    <n v="50"/>
    <x v="4"/>
    <s v="Sunday"/>
  </r>
  <r>
    <s v="O1007"/>
    <s v="R106"/>
    <x v="6"/>
    <x v="2"/>
    <s v="Sneha"/>
    <n v="39"/>
    <n v="40"/>
    <x v="5"/>
    <s v="Monday"/>
  </r>
  <r>
    <s v="O1008"/>
    <s v="R103"/>
    <x v="7"/>
    <x v="3"/>
    <s v="Unassigned"/>
    <n v="34"/>
    <n v="35"/>
    <x v="1"/>
    <s v="Tuesday"/>
  </r>
  <r>
    <s v="O1009"/>
    <s v="R107"/>
    <x v="8"/>
    <x v="0"/>
    <s v="Arjun"/>
    <n v="27"/>
    <n v="25"/>
    <x v="6"/>
    <s v="Wednesday"/>
  </r>
  <r>
    <s v="O1010"/>
    <s v="R102"/>
    <x v="9"/>
    <x v="1"/>
    <s v="Priya"/>
    <n v="31"/>
    <n v="30"/>
    <x v="2"/>
    <s v="Thursday"/>
  </r>
  <r>
    <s v="O1011"/>
    <s v="R108"/>
    <x v="10"/>
    <x v="2"/>
    <s v="Karan"/>
    <n v="42"/>
    <n v="45"/>
    <x v="7"/>
    <s v="Friday"/>
  </r>
  <r>
    <s v="O1012"/>
    <s v="R105"/>
    <x v="11"/>
    <x v="3"/>
    <s v="Neha"/>
    <n v="37"/>
    <n v="40"/>
    <x v="3"/>
    <s v="Saturday"/>
  </r>
  <r>
    <s v="O1013"/>
    <s v="R101"/>
    <x v="12"/>
    <x v="0"/>
    <s v="Rahul"/>
    <n v="29"/>
    <n v="30"/>
    <x v="0"/>
    <s v="Sunday"/>
  </r>
  <r>
    <s v="O1014"/>
    <s v="R104"/>
    <x v="13"/>
    <x v="1"/>
    <s v="Unassigned"/>
    <n v="46"/>
    <n v="50"/>
    <x v="4"/>
    <s v="Monday"/>
  </r>
  <r>
    <s v="O1015"/>
    <s v="R106"/>
    <x v="14"/>
    <x v="2"/>
    <s v="Sneha"/>
    <n v="35"/>
    <n v="35"/>
    <x v="5"/>
    <s v="Tuesday"/>
  </r>
  <r>
    <s v="O1016"/>
    <s v="R103"/>
    <x v="15"/>
    <x v="3"/>
    <s v="Rohan"/>
    <n v="33"/>
    <n v="35"/>
    <x v="1"/>
    <s v="Wednesday"/>
  </r>
  <r>
    <s v="O1017"/>
    <s v="R107"/>
    <x v="16"/>
    <x v="0"/>
    <s v="Arjun"/>
    <n v="26"/>
    <n v="25"/>
    <x v="6"/>
    <s v="Thursday"/>
  </r>
  <r>
    <s v="O1018"/>
    <s v="R102"/>
    <x v="17"/>
    <x v="1"/>
    <s v="Priya"/>
    <n v="30"/>
    <n v="30"/>
    <x v="2"/>
    <s v="Friday"/>
  </r>
  <r>
    <s v="O1019"/>
    <s v="R108"/>
    <x v="18"/>
    <x v="2"/>
    <s v="Unassigned"/>
    <n v="44"/>
    <n v="45"/>
    <x v="7"/>
    <s v="Saturday"/>
  </r>
  <r>
    <s v="O1020"/>
    <s v="R105"/>
    <x v="19"/>
    <x v="3"/>
    <s v="Neha"/>
    <n v="38"/>
    <n v="40"/>
    <x v="3"/>
    <s v="Sunday"/>
  </r>
  <r>
    <s v="O1021"/>
    <s v="R101"/>
    <x v="20"/>
    <x v="0"/>
    <s v="Rahul"/>
    <n v="31"/>
    <n v="35"/>
    <x v="0"/>
    <s v="Monday"/>
  </r>
  <r>
    <s v="O1022"/>
    <s v="R104"/>
    <x v="21"/>
    <x v="1"/>
    <s v="Rohan"/>
    <n v="43"/>
    <n v="45"/>
    <x v="4"/>
    <s v="Tuesday"/>
  </r>
  <r>
    <s v="O1023"/>
    <s v="R106"/>
    <x v="22"/>
    <x v="2"/>
    <s v="Sneha"/>
    <n v="36"/>
    <n v="40"/>
    <x v="5"/>
    <s v="Wednesday"/>
  </r>
  <r>
    <s v="O1024"/>
    <s v="R103"/>
    <x v="23"/>
    <x v="3"/>
    <s v="Unassigned"/>
    <n v="35"/>
    <n v="35"/>
    <x v="1"/>
    <s v="Thursday"/>
  </r>
  <r>
    <s v="O1025"/>
    <s v="R107"/>
    <x v="24"/>
    <x v="0"/>
    <s v="Arjun"/>
    <n v="28"/>
    <n v="30"/>
    <x v="6"/>
    <s v="Friday"/>
  </r>
  <r>
    <s v="O1026"/>
    <s v="R102"/>
    <x v="25"/>
    <x v="1"/>
    <s v="Priya"/>
    <n v="32"/>
    <n v="35"/>
    <x v="2"/>
    <s v="Saturday"/>
  </r>
  <r>
    <s v="O1027"/>
    <s v="R108"/>
    <x v="26"/>
    <x v="2"/>
    <s v="Karan"/>
    <n v="41"/>
    <n v="45"/>
    <x v="7"/>
    <s v="Sunday"/>
  </r>
  <r>
    <s v="O1028"/>
    <s v="R105"/>
    <x v="27"/>
    <x v="3"/>
    <s v="Neha"/>
    <n v="39"/>
    <n v="40"/>
    <x v="3"/>
    <s v="Monday"/>
  </r>
  <r>
    <s v="O1029"/>
    <s v="R101"/>
    <x v="28"/>
    <x v="0"/>
    <s v="Unassigned"/>
    <n v="33"/>
    <n v="35"/>
    <x v="0"/>
    <s v="Tuesday"/>
  </r>
  <r>
    <s v="O1030"/>
    <s v="R104"/>
    <x v="29"/>
    <x v="1"/>
    <s v="Rohan"/>
    <n v="47"/>
    <n v="50"/>
    <x v="4"/>
    <s v="Wednesday"/>
  </r>
  <r>
    <s v="O1031"/>
    <s v="R106"/>
    <x v="30"/>
    <x v="2"/>
    <s v="Sneha"/>
    <n v="37"/>
    <n v="40"/>
    <x v="5"/>
    <s v="Thursday"/>
  </r>
  <r>
    <s v="O1032"/>
    <s v="R103"/>
    <x v="31"/>
    <x v="3"/>
    <s v="Rohan"/>
    <n v="34"/>
    <n v="35"/>
    <x v="1"/>
    <s v="Friday"/>
  </r>
  <r>
    <s v="O1033"/>
    <s v="R107"/>
    <x v="32"/>
    <x v="0"/>
    <s v="Arjun"/>
    <n v="29"/>
    <n v="30"/>
    <x v="6"/>
    <s v="Saturday"/>
  </r>
  <r>
    <s v="O1034"/>
    <s v="R102"/>
    <x v="33"/>
    <x v="1"/>
    <s v="Priya"/>
    <n v="31"/>
    <n v="30"/>
    <x v="2"/>
    <s v="Sunday"/>
  </r>
  <r>
    <s v="O1035"/>
    <s v="R108"/>
    <x v="34"/>
    <x v="2"/>
    <s v="Unassigned"/>
    <n v="43"/>
    <n v="45"/>
    <x v="7"/>
    <s v="Monday"/>
  </r>
  <r>
    <s v="O1036"/>
    <s v="R105"/>
    <x v="35"/>
    <x v="3"/>
    <s v="Neha"/>
    <n v="36"/>
    <n v="40"/>
    <x v="3"/>
    <s v="Tuesday"/>
  </r>
  <r>
    <s v="O1037"/>
    <s v="R101"/>
    <x v="36"/>
    <x v="0"/>
    <s v="Rahul"/>
    <n v="30"/>
    <n v="35"/>
    <x v="0"/>
    <s v="Wednesday"/>
  </r>
  <r>
    <s v="O1038"/>
    <s v="R104"/>
    <x v="37"/>
    <x v="1"/>
    <s v="Rohan"/>
    <n v="44"/>
    <n v="45"/>
    <x v="4"/>
    <s v="Thursday"/>
  </r>
  <r>
    <s v="O1039"/>
    <s v="R106"/>
    <x v="38"/>
    <x v="2"/>
    <s v="Sneha"/>
    <n v="35"/>
    <n v="35"/>
    <x v="5"/>
    <s v="Friday"/>
  </r>
  <r>
    <s v="O1040"/>
    <s v="R103"/>
    <x v="39"/>
    <x v="3"/>
    <s v="Unassigned"/>
    <n v="32"/>
    <n v="35"/>
    <x v="1"/>
    <s v="Satur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6CF392-D068-46D1-BFD9-8EC66A1B06BB}"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5:B29" firstHeaderRow="1" firstDataRow="1" firstDataCol="1"/>
  <pivotFields count="11">
    <pivotField dataField="1" showAll="0"/>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5">
        <item x="0"/>
        <item x="3"/>
        <item x="2"/>
        <item x="1"/>
        <item t="default"/>
      </items>
    </pivotField>
    <pivotField showAll="0"/>
    <pivotField showAll="0"/>
    <pivotField showAll="0"/>
    <pivotField axis="axisRow" showAll="0">
      <items count="9">
        <item x="1"/>
        <item x="0"/>
        <item h="1" x="3"/>
        <item h="1" x="7"/>
        <item h="1" x="2"/>
        <item h="1" x="6"/>
        <item x="4"/>
        <item h="1" x="5"/>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4">
    <i>
      <x/>
    </i>
    <i>
      <x v="1"/>
    </i>
    <i>
      <x v="6"/>
    </i>
    <i t="grand">
      <x/>
    </i>
  </rowItems>
  <colItems count="1">
    <i/>
  </colItems>
  <dataFields count="1">
    <dataField name="Count of Order ID" fld="0" subtotal="count"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533485-2596-44DE-A73B-A44833EB145F}"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A19" firstHeaderRow="1" firstDataRow="1" firstDataCol="0"/>
  <pivotFields count="11">
    <pivotField dataField="1" showAll="0"/>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5">
        <item x="0"/>
        <item x="3"/>
        <item x="2"/>
        <item x="1"/>
        <item t="default"/>
      </items>
    </pivotField>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55CEC3-578F-4744-B037-7EC51684B7D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 firstHeaderRow="0" firstDataRow="1" firstDataCol="1"/>
  <pivotFields count="11">
    <pivotField dataField="1" showAll="0"/>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axis="axisRow" showAll="0">
      <items count="5">
        <item x="0"/>
        <item x="3"/>
        <item x="2"/>
        <item x="1"/>
        <item t="default"/>
      </items>
    </pivotField>
    <pivotField showAll="0"/>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Fields count="1">
    <field x="-2"/>
  </colFields>
  <colItems count="2">
    <i>
      <x/>
    </i>
    <i i="1">
      <x v="1"/>
    </i>
  </colItems>
  <dataFields count="2">
    <dataField name="Count of Order ID" fld="0" subtotal="count" baseField="0" baseItem="0"/>
    <dataField name="Sum of Delivery Charge (₹)"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80DED26-9637-47DF-9FA7-BF89439E51AD}" sourceName="City">
  <pivotTables>
    <pivotTable tabId="3" name="PivotTable1"/>
    <pivotTable tabId="3" name="PivotTable2"/>
    <pivotTable tabId="3" name="PivotTable3"/>
  </pivotTables>
  <data>
    <tabular pivotCacheId="316445126">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5B263B2-3CE4-4550-84E1-2D264A8C89C1}" cache="Slicer_City" caption="City" style="SlicerStyleLight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DBEED3-7587-4E11-A5C6-060BADF724F9}" name="Table1" displayName="Table1" ref="A1:I42" totalsRowCount="1">
  <autoFilter ref="A1:I41" xr:uid="{78DBEED3-7587-4E11-A5C6-060BADF724F9}"/>
  <tableColumns count="9">
    <tableColumn id="1" xr3:uid="{6FC33676-320C-4BCC-9B0F-AAAEC7D1AF06}" name="Order ID" dataDxfId="13" totalsRowDxfId="6"/>
    <tableColumn id="2" xr3:uid="{CABEC8D0-4D36-4FC1-A799-B814665B2120}" name="Restaurant ID" dataDxfId="12" totalsRowDxfId="5"/>
    <tableColumn id="3" xr3:uid="{D3AF7DC9-565E-4D4D-A601-0146EFC0BB84}" name="Delivery Date" dataDxfId="11" totalsRowDxfId="4"/>
    <tableColumn id="4" xr3:uid="{70F63828-4410-448C-B98F-CEAFD7C8928B}" name="City" dataDxfId="10" totalsRowDxfId="3"/>
    <tableColumn id="5" xr3:uid="{DF34C2B8-137A-4FF7-B7CB-BFC501EEC49F}" name="Delivery Partner" dataDxfId="9" totalsRowDxfId="2"/>
    <tableColumn id="6" xr3:uid="{119CD04B-0FA7-4F87-AF4C-A6615F80F991}" name="Delivery Time (min)" totalsRowFunction="custom" dataDxfId="8" totalsRowDxfId="1">
      <totalsRowFormula>AVERAGE(Table1[Delivery Time (min)])</totalsRowFormula>
    </tableColumn>
    <tableColumn id="7" xr3:uid="{33D411AC-A3C1-4EE9-9516-8B6223E17B4E}" name="Delivery Charge (₹)" dataDxfId="7" totalsRowDxfId="0"/>
    <tableColumn id="8" xr3:uid="{9777949E-FFA6-4684-A0F6-6BFBC5746C35}" name="Restaurant Name">
      <calculatedColumnFormula>_xlfn.XLOOKUP(B2,'Restaurant Details'!A:A,'Restaurant Details'!B:B,"NA")</calculatedColumnFormula>
    </tableColumn>
    <tableColumn id="9" xr3:uid="{18165A58-1C7D-456F-905B-41FF740858DF}" name="Day of Week">
      <calculatedColumnFormula>TEXT(C2,"dddd")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530F5-C874-4164-A1C6-4BECBE2EF383}">
  <dimension ref="A1:P42"/>
  <sheetViews>
    <sheetView topLeftCell="A27" workbookViewId="0">
      <selection activeCell="F42" sqref="F42"/>
    </sheetView>
  </sheetViews>
  <sheetFormatPr defaultRowHeight="14.5" x14ac:dyDescent="0.35"/>
  <cols>
    <col min="1" max="1" width="9.6328125" customWidth="1"/>
    <col min="2" max="2" width="14.1796875" customWidth="1"/>
    <col min="3" max="3" width="13.90625" style="1" customWidth="1"/>
    <col min="4" max="4" width="10.453125" bestFit="1" customWidth="1"/>
    <col min="5" max="5" width="16.08984375" customWidth="1"/>
    <col min="6" max="6" width="19" customWidth="1"/>
    <col min="7" max="7" width="18.54296875" customWidth="1"/>
    <col min="8" max="8" width="17.26953125" customWidth="1"/>
    <col min="9" max="9" width="13" customWidth="1"/>
  </cols>
  <sheetData>
    <row r="1" spans="1:16" x14ac:dyDescent="0.35">
      <c r="A1" s="2" t="s">
        <v>0</v>
      </c>
      <c r="B1" s="2" t="s">
        <v>1</v>
      </c>
      <c r="C1" s="2" t="s">
        <v>2</v>
      </c>
      <c r="D1" s="2" t="s">
        <v>3</v>
      </c>
      <c r="E1" s="2" t="s">
        <v>4</v>
      </c>
      <c r="F1" s="3" t="s">
        <v>5</v>
      </c>
      <c r="G1" s="3" t="s">
        <v>6</v>
      </c>
      <c r="H1" s="7" t="s">
        <v>68</v>
      </c>
      <c r="I1" s="7" t="s">
        <v>77</v>
      </c>
    </row>
    <row r="2" spans="1:16" x14ac:dyDescent="0.35">
      <c r="A2" s="4" t="s">
        <v>7</v>
      </c>
      <c r="B2" s="4" t="s">
        <v>8</v>
      </c>
      <c r="C2" s="5">
        <v>46266</v>
      </c>
      <c r="D2" s="4" t="s">
        <v>9</v>
      </c>
      <c r="E2" s="4" t="s">
        <v>10</v>
      </c>
      <c r="F2" s="6">
        <v>32</v>
      </c>
      <c r="G2" s="6">
        <v>35</v>
      </c>
      <c r="H2" t="str">
        <f>_xlfn.XLOOKUP(B2,'Restaurant Details'!A:A,'Restaurant Details'!B:B,"NA")</f>
        <v>Burger Singh</v>
      </c>
      <c r="I2" t="str">
        <f>TEXT(C2,"dddd")</f>
        <v>Tuesday</v>
      </c>
    </row>
    <row r="3" spans="1:16" x14ac:dyDescent="0.35">
      <c r="A3" s="4" t="s">
        <v>11</v>
      </c>
      <c r="B3" s="4" t="s">
        <v>12</v>
      </c>
      <c r="C3" s="5">
        <v>46267</v>
      </c>
      <c r="D3" s="4" t="s">
        <v>13</v>
      </c>
      <c r="E3" s="4" t="s">
        <v>14</v>
      </c>
      <c r="F3" s="6">
        <v>41</v>
      </c>
      <c r="G3" s="6">
        <v>40</v>
      </c>
      <c r="H3" t="str">
        <f>_xlfn.XLOOKUP(B3,'Restaurant Details'!A:A,'Restaurant Details'!B:B,"NA")</f>
        <v>Biryani Blues</v>
      </c>
      <c r="I3" t="str">
        <f t="shared" ref="I3:I41" si="0">TEXT(C3,"dddd")</f>
        <v>Wednesday</v>
      </c>
    </row>
    <row r="4" spans="1:16" x14ac:dyDescent="0.35">
      <c r="A4" s="4" t="s">
        <v>15</v>
      </c>
      <c r="B4" s="4" t="s">
        <v>16</v>
      </c>
      <c r="C4" s="5">
        <v>46268</v>
      </c>
      <c r="D4" s="4" t="s">
        <v>17</v>
      </c>
      <c r="E4" s="4" t="s">
        <v>18</v>
      </c>
      <c r="F4" s="6">
        <v>28</v>
      </c>
      <c r="G4" s="6">
        <v>30</v>
      </c>
      <c r="H4" t="str">
        <f>_xlfn.XLOOKUP(B4,'Restaurant Details'!A:A,'Restaurant Details'!B:B,"NA")</f>
        <v>Pizza Paradise</v>
      </c>
      <c r="I4" t="str">
        <f t="shared" si="0"/>
        <v>Thursday</v>
      </c>
    </row>
    <row r="5" spans="1:16" x14ac:dyDescent="0.35">
      <c r="A5" s="4" t="s">
        <v>19</v>
      </c>
      <c r="B5" s="4" t="s">
        <v>20</v>
      </c>
      <c r="C5" s="5">
        <v>46269</v>
      </c>
      <c r="D5" s="4" t="s">
        <v>21</v>
      </c>
      <c r="E5" s="4" t="s">
        <v>22</v>
      </c>
      <c r="F5" s="6">
        <v>36</v>
      </c>
      <c r="G5" s="6">
        <v>35</v>
      </c>
      <c r="H5" t="str">
        <f>_xlfn.XLOOKUP(B5,'Restaurant Details'!A:A,'Restaurant Details'!B:B,"NA")</f>
        <v>Cafe Delhi Heights</v>
      </c>
      <c r="I5" t="str">
        <f t="shared" si="0"/>
        <v>Friday</v>
      </c>
    </row>
    <row r="6" spans="1:16" x14ac:dyDescent="0.35">
      <c r="A6" s="4" t="s">
        <v>23</v>
      </c>
      <c r="B6" s="4" t="s">
        <v>8</v>
      </c>
      <c r="C6" s="5">
        <v>46270</v>
      </c>
      <c r="D6" s="4" t="s">
        <v>9</v>
      </c>
      <c r="E6" s="4" t="s">
        <v>67</v>
      </c>
      <c r="F6" s="6">
        <v>30</v>
      </c>
      <c r="G6" s="6">
        <v>30</v>
      </c>
      <c r="H6" t="str">
        <f>_xlfn.XLOOKUP(B6,'Restaurant Details'!A:A,'Restaurant Details'!B:B,"NA")</f>
        <v>Burger Singh</v>
      </c>
      <c r="I6" t="str">
        <f t="shared" si="0"/>
        <v>Saturday</v>
      </c>
      <c r="P6" t="s">
        <v>78</v>
      </c>
    </row>
    <row r="7" spans="1:16" x14ac:dyDescent="0.35">
      <c r="A7" s="4" t="s">
        <v>24</v>
      </c>
      <c r="B7" s="4" t="s">
        <v>25</v>
      </c>
      <c r="C7" s="5">
        <v>46271</v>
      </c>
      <c r="D7" s="4" t="s">
        <v>13</v>
      </c>
      <c r="E7" s="4" t="s">
        <v>26</v>
      </c>
      <c r="F7" s="6">
        <v>45</v>
      </c>
      <c r="G7" s="6">
        <v>50</v>
      </c>
      <c r="H7" t="str">
        <f>_xlfn.XLOOKUP(B7,'Restaurant Details'!A:A,'Restaurant Details'!B:B,"NA")</f>
        <v>The Chinese Wok</v>
      </c>
      <c r="I7" t="str">
        <f t="shared" si="0"/>
        <v>Sunday</v>
      </c>
    </row>
    <row r="8" spans="1:16" x14ac:dyDescent="0.35">
      <c r="A8" s="4" t="s">
        <v>27</v>
      </c>
      <c r="B8" s="4" t="s">
        <v>28</v>
      </c>
      <c r="C8" s="5">
        <v>46272</v>
      </c>
      <c r="D8" s="4" t="s">
        <v>17</v>
      </c>
      <c r="E8" s="4" t="s">
        <v>29</v>
      </c>
      <c r="F8" s="6">
        <v>39</v>
      </c>
      <c r="G8" s="6">
        <v>40</v>
      </c>
      <c r="H8" t="str">
        <f>_xlfn.XLOOKUP(B8,'Restaurant Details'!A:A,'Restaurant Details'!B:B,"NA")</f>
        <v>Wow! Momo</v>
      </c>
      <c r="I8" t="str">
        <f t="shared" si="0"/>
        <v>Monday</v>
      </c>
    </row>
    <row r="9" spans="1:16" x14ac:dyDescent="0.35">
      <c r="A9" s="4" t="s">
        <v>30</v>
      </c>
      <c r="B9" s="4" t="s">
        <v>12</v>
      </c>
      <c r="C9" s="5">
        <v>46273</v>
      </c>
      <c r="D9" s="4" t="s">
        <v>21</v>
      </c>
      <c r="E9" s="4" t="s">
        <v>67</v>
      </c>
      <c r="F9" s="6">
        <v>34</v>
      </c>
      <c r="G9" s="6">
        <v>35</v>
      </c>
      <c r="H9" t="str">
        <f>_xlfn.XLOOKUP(B9,'Restaurant Details'!A:A,'Restaurant Details'!B:B,"NA")</f>
        <v>Biryani Blues</v>
      </c>
      <c r="I9" t="str">
        <f t="shared" si="0"/>
        <v>Tuesday</v>
      </c>
    </row>
    <row r="10" spans="1:16" x14ac:dyDescent="0.35">
      <c r="A10" s="4" t="s">
        <v>31</v>
      </c>
      <c r="B10" s="4" t="s">
        <v>32</v>
      </c>
      <c r="C10" s="5">
        <v>46274</v>
      </c>
      <c r="D10" s="4" t="s">
        <v>9</v>
      </c>
      <c r="E10" s="4" t="s">
        <v>33</v>
      </c>
      <c r="F10" s="6">
        <v>27</v>
      </c>
      <c r="G10" s="6">
        <v>25</v>
      </c>
      <c r="H10" t="str">
        <f>_xlfn.XLOOKUP(B10,'Restaurant Details'!A:A,'Restaurant Details'!B:B,"NA")</f>
        <v>Subway</v>
      </c>
      <c r="I10" t="str">
        <f t="shared" si="0"/>
        <v>Wednesday</v>
      </c>
    </row>
    <row r="11" spans="1:16" x14ac:dyDescent="0.35">
      <c r="A11" s="4" t="s">
        <v>34</v>
      </c>
      <c r="B11" s="4" t="s">
        <v>16</v>
      </c>
      <c r="C11" s="5">
        <v>46275</v>
      </c>
      <c r="D11" s="4" t="s">
        <v>13</v>
      </c>
      <c r="E11" s="4" t="s">
        <v>14</v>
      </c>
      <c r="F11" s="6">
        <v>31</v>
      </c>
      <c r="G11" s="6">
        <v>30</v>
      </c>
      <c r="H11" t="str">
        <f>_xlfn.XLOOKUP(B11,'Restaurant Details'!A:A,'Restaurant Details'!B:B,"NA")</f>
        <v>Pizza Paradise</v>
      </c>
      <c r="I11" t="str">
        <f t="shared" si="0"/>
        <v>Thursday</v>
      </c>
    </row>
    <row r="12" spans="1:16" x14ac:dyDescent="0.35">
      <c r="A12" s="4" t="s">
        <v>35</v>
      </c>
      <c r="B12" s="4" t="s">
        <v>36</v>
      </c>
      <c r="C12" s="5">
        <v>46276</v>
      </c>
      <c r="D12" s="4" t="s">
        <v>17</v>
      </c>
      <c r="E12" s="4" t="s">
        <v>37</v>
      </c>
      <c r="F12" s="6">
        <v>42</v>
      </c>
      <c r="G12" s="6">
        <v>45</v>
      </c>
      <c r="H12" t="str">
        <f>_xlfn.XLOOKUP(B12,'Restaurant Details'!A:A,'Restaurant Details'!B:B,"NA")</f>
        <v>Domino's Pizza</v>
      </c>
      <c r="I12" t="str">
        <f t="shared" si="0"/>
        <v>Friday</v>
      </c>
    </row>
    <row r="13" spans="1:16" x14ac:dyDescent="0.35">
      <c r="A13" s="4" t="s">
        <v>38</v>
      </c>
      <c r="B13" s="4" t="s">
        <v>20</v>
      </c>
      <c r="C13" s="5">
        <v>46277</v>
      </c>
      <c r="D13" s="4" t="s">
        <v>21</v>
      </c>
      <c r="E13" s="4" t="s">
        <v>22</v>
      </c>
      <c r="F13" s="6">
        <v>37</v>
      </c>
      <c r="G13" s="6">
        <v>40</v>
      </c>
      <c r="H13" t="str">
        <f>_xlfn.XLOOKUP(B13,'Restaurant Details'!A:A,'Restaurant Details'!B:B,"NA")</f>
        <v>Cafe Delhi Heights</v>
      </c>
      <c r="I13" t="str">
        <f t="shared" si="0"/>
        <v>Saturday</v>
      </c>
    </row>
    <row r="14" spans="1:16" x14ac:dyDescent="0.35">
      <c r="A14" s="4" t="s">
        <v>39</v>
      </c>
      <c r="B14" s="4" t="s">
        <v>8</v>
      </c>
      <c r="C14" s="5">
        <v>46278</v>
      </c>
      <c r="D14" s="4" t="s">
        <v>9</v>
      </c>
      <c r="E14" s="4" t="s">
        <v>10</v>
      </c>
      <c r="F14" s="6">
        <v>29</v>
      </c>
      <c r="G14" s="6">
        <v>30</v>
      </c>
      <c r="H14" t="str">
        <f>_xlfn.XLOOKUP(B14,'Restaurant Details'!A:A,'Restaurant Details'!B:B,"NA")</f>
        <v>Burger Singh</v>
      </c>
      <c r="I14" t="str">
        <f t="shared" si="0"/>
        <v>Sunday</v>
      </c>
    </row>
    <row r="15" spans="1:16" x14ac:dyDescent="0.35">
      <c r="A15" s="4" t="s">
        <v>40</v>
      </c>
      <c r="B15" s="4" t="s">
        <v>25</v>
      </c>
      <c r="C15" s="5">
        <v>46279</v>
      </c>
      <c r="D15" s="4" t="s">
        <v>13</v>
      </c>
      <c r="E15" s="4" t="s">
        <v>67</v>
      </c>
      <c r="F15" s="6">
        <v>46</v>
      </c>
      <c r="G15" s="6">
        <v>50</v>
      </c>
      <c r="H15" t="str">
        <f>_xlfn.XLOOKUP(B15,'Restaurant Details'!A:A,'Restaurant Details'!B:B,"NA")</f>
        <v>The Chinese Wok</v>
      </c>
      <c r="I15" t="str">
        <f t="shared" si="0"/>
        <v>Monday</v>
      </c>
    </row>
    <row r="16" spans="1:16" x14ac:dyDescent="0.35">
      <c r="A16" s="4" t="s">
        <v>41</v>
      </c>
      <c r="B16" s="4" t="s">
        <v>28</v>
      </c>
      <c r="C16" s="5">
        <v>46280</v>
      </c>
      <c r="D16" s="4" t="s">
        <v>17</v>
      </c>
      <c r="E16" s="4" t="s">
        <v>29</v>
      </c>
      <c r="F16" s="6">
        <v>35</v>
      </c>
      <c r="G16" s="6">
        <v>35</v>
      </c>
      <c r="H16" t="str">
        <f>_xlfn.XLOOKUP(B16,'Restaurant Details'!A:A,'Restaurant Details'!B:B,"NA")</f>
        <v>Wow! Momo</v>
      </c>
      <c r="I16" t="str">
        <f t="shared" si="0"/>
        <v>Tuesday</v>
      </c>
    </row>
    <row r="17" spans="1:9" x14ac:dyDescent="0.35">
      <c r="A17" s="4" t="s">
        <v>42</v>
      </c>
      <c r="B17" s="4" t="s">
        <v>12</v>
      </c>
      <c r="C17" s="5">
        <v>46281</v>
      </c>
      <c r="D17" s="4" t="s">
        <v>21</v>
      </c>
      <c r="E17" s="4" t="s">
        <v>26</v>
      </c>
      <c r="F17" s="6">
        <v>33</v>
      </c>
      <c r="G17" s="6">
        <v>35</v>
      </c>
      <c r="H17" t="str">
        <f>_xlfn.XLOOKUP(B17,'Restaurant Details'!A:A,'Restaurant Details'!B:B,"NA")</f>
        <v>Biryani Blues</v>
      </c>
      <c r="I17" t="str">
        <f t="shared" si="0"/>
        <v>Wednesday</v>
      </c>
    </row>
    <row r="18" spans="1:9" x14ac:dyDescent="0.35">
      <c r="A18" s="4" t="s">
        <v>43</v>
      </c>
      <c r="B18" s="4" t="s">
        <v>32</v>
      </c>
      <c r="C18" s="5">
        <v>46282</v>
      </c>
      <c r="D18" s="4" t="s">
        <v>9</v>
      </c>
      <c r="E18" s="4" t="s">
        <v>33</v>
      </c>
      <c r="F18" s="6">
        <v>26</v>
      </c>
      <c r="G18" s="6">
        <v>25</v>
      </c>
      <c r="H18" t="str">
        <f>_xlfn.XLOOKUP(B18,'Restaurant Details'!A:A,'Restaurant Details'!B:B,"NA")</f>
        <v>Subway</v>
      </c>
      <c r="I18" t="str">
        <f t="shared" si="0"/>
        <v>Thursday</v>
      </c>
    </row>
    <row r="19" spans="1:9" x14ac:dyDescent="0.35">
      <c r="A19" s="4" t="s">
        <v>44</v>
      </c>
      <c r="B19" s="4" t="s">
        <v>16</v>
      </c>
      <c r="C19" s="5">
        <v>46283</v>
      </c>
      <c r="D19" s="4" t="s">
        <v>13</v>
      </c>
      <c r="E19" s="4" t="s">
        <v>14</v>
      </c>
      <c r="F19" s="6">
        <v>30</v>
      </c>
      <c r="G19" s="6">
        <v>30</v>
      </c>
      <c r="H19" t="str">
        <f>_xlfn.XLOOKUP(B19,'Restaurant Details'!A:A,'Restaurant Details'!B:B,"NA")</f>
        <v>Pizza Paradise</v>
      </c>
      <c r="I19" t="str">
        <f t="shared" si="0"/>
        <v>Friday</v>
      </c>
    </row>
    <row r="20" spans="1:9" x14ac:dyDescent="0.35">
      <c r="A20" s="4" t="s">
        <v>45</v>
      </c>
      <c r="B20" s="4" t="s">
        <v>36</v>
      </c>
      <c r="C20" s="5">
        <v>46284</v>
      </c>
      <c r="D20" s="4" t="s">
        <v>17</v>
      </c>
      <c r="E20" s="4" t="s">
        <v>67</v>
      </c>
      <c r="F20" s="6">
        <v>44</v>
      </c>
      <c r="G20" s="6">
        <v>45</v>
      </c>
      <c r="H20" t="str">
        <f>_xlfn.XLOOKUP(B20,'Restaurant Details'!A:A,'Restaurant Details'!B:B,"NA")</f>
        <v>Domino's Pizza</v>
      </c>
      <c r="I20" t="str">
        <f t="shared" si="0"/>
        <v>Saturday</v>
      </c>
    </row>
    <row r="21" spans="1:9" x14ac:dyDescent="0.35">
      <c r="A21" s="4" t="s">
        <v>46</v>
      </c>
      <c r="B21" s="4" t="s">
        <v>20</v>
      </c>
      <c r="C21" s="5">
        <v>46285</v>
      </c>
      <c r="D21" s="4" t="s">
        <v>21</v>
      </c>
      <c r="E21" s="4" t="s">
        <v>22</v>
      </c>
      <c r="F21" s="6">
        <v>38</v>
      </c>
      <c r="G21" s="6">
        <v>40</v>
      </c>
      <c r="H21" t="str">
        <f>_xlfn.XLOOKUP(B21,'Restaurant Details'!A:A,'Restaurant Details'!B:B,"NA")</f>
        <v>Cafe Delhi Heights</v>
      </c>
      <c r="I21" t="str">
        <f t="shared" si="0"/>
        <v>Sunday</v>
      </c>
    </row>
    <row r="22" spans="1:9" x14ac:dyDescent="0.35">
      <c r="A22" s="4" t="s">
        <v>47</v>
      </c>
      <c r="B22" s="4" t="s">
        <v>8</v>
      </c>
      <c r="C22" s="5">
        <v>46286</v>
      </c>
      <c r="D22" s="4" t="s">
        <v>9</v>
      </c>
      <c r="E22" s="4" t="s">
        <v>10</v>
      </c>
      <c r="F22" s="6">
        <v>31</v>
      </c>
      <c r="G22" s="6">
        <v>35</v>
      </c>
      <c r="H22" t="str">
        <f>_xlfn.XLOOKUP(B22,'Restaurant Details'!A:A,'Restaurant Details'!B:B,"NA")</f>
        <v>Burger Singh</v>
      </c>
      <c r="I22" t="str">
        <f t="shared" si="0"/>
        <v>Monday</v>
      </c>
    </row>
    <row r="23" spans="1:9" x14ac:dyDescent="0.35">
      <c r="A23" s="4" t="s">
        <v>48</v>
      </c>
      <c r="B23" s="4" t="s">
        <v>25</v>
      </c>
      <c r="C23" s="5">
        <v>46287</v>
      </c>
      <c r="D23" s="4" t="s">
        <v>13</v>
      </c>
      <c r="E23" s="4" t="s">
        <v>26</v>
      </c>
      <c r="F23" s="6">
        <v>43</v>
      </c>
      <c r="G23" s="6">
        <v>45</v>
      </c>
      <c r="H23" t="str">
        <f>_xlfn.XLOOKUP(B23,'Restaurant Details'!A:A,'Restaurant Details'!B:B,"NA")</f>
        <v>The Chinese Wok</v>
      </c>
      <c r="I23" t="str">
        <f t="shared" si="0"/>
        <v>Tuesday</v>
      </c>
    </row>
    <row r="24" spans="1:9" x14ac:dyDescent="0.35">
      <c r="A24" s="4" t="s">
        <v>49</v>
      </c>
      <c r="B24" s="4" t="s">
        <v>28</v>
      </c>
      <c r="C24" s="5">
        <v>46288</v>
      </c>
      <c r="D24" s="4" t="s">
        <v>17</v>
      </c>
      <c r="E24" s="4" t="s">
        <v>29</v>
      </c>
      <c r="F24" s="6">
        <v>36</v>
      </c>
      <c r="G24" s="6">
        <v>40</v>
      </c>
      <c r="H24" t="str">
        <f>_xlfn.XLOOKUP(B24,'Restaurant Details'!A:A,'Restaurant Details'!B:B,"NA")</f>
        <v>Wow! Momo</v>
      </c>
      <c r="I24" t="str">
        <f t="shared" si="0"/>
        <v>Wednesday</v>
      </c>
    </row>
    <row r="25" spans="1:9" x14ac:dyDescent="0.35">
      <c r="A25" s="4" t="s">
        <v>50</v>
      </c>
      <c r="B25" s="4" t="s">
        <v>12</v>
      </c>
      <c r="C25" s="5">
        <v>46289</v>
      </c>
      <c r="D25" s="4" t="s">
        <v>21</v>
      </c>
      <c r="E25" s="4" t="s">
        <v>67</v>
      </c>
      <c r="F25" s="6">
        <v>35</v>
      </c>
      <c r="G25" s="6">
        <v>35</v>
      </c>
      <c r="H25" t="str">
        <f>_xlfn.XLOOKUP(B25,'Restaurant Details'!A:A,'Restaurant Details'!B:B,"NA")</f>
        <v>Biryani Blues</v>
      </c>
      <c r="I25" t="str">
        <f t="shared" si="0"/>
        <v>Thursday</v>
      </c>
    </row>
    <row r="26" spans="1:9" x14ac:dyDescent="0.35">
      <c r="A26" s="4" t="s">
        <v>51</v>
      </c>
      <c r="B26" s="4" t="s">
        <v>32</v>
      </c>
      <c r="C26" s="5">
        <v>46290</v>
      </c>
      <c r="D26" s="4" t="s">
        <v>9</v>
      </c>
      <c r="E26" s="4" t="s">
        <v>33</v>
      </c>
      <c r="F26" s="6">
        <v>28</v>
      </c>
      <c r="G26" s="6">
        <v>30</v>
      </c>
      <c r="H26" t="str">
        <f>_xlfn.XLOOKUP(B26,'Restaurant Details'!A:A,'Restaurant Details'!B:B,"NA")</f>
        <v>Subway</v>
      </c>
      <c r="I26" t="str">
        <f t="shared" si="0"/>
        <v>Friday</v>
      </c>
    </row>
    <row r="27" spans="1:9" x14ac:dyDescent="0.35">
      <c r="A27" s="4" t="s">
        <v>52</v>
      </c>
      <c r="B27" s="4" t="s">
        <v>16</v>
      </c>
      <c r="C27" s="5">
        <v>46291</v>
      </c>
      <c r="D27" s="4" t="s">
        <v>13</v>
      </c>
      <c r="E27" s="4" t="s">
        <v>14</v>
      </c>
      <c r="F27" s="6">
        <v>32</v>
      </c>
      <c r="G27" s="6">
        <v>35</v>
      </c>
      <c r="H27" t="str">
        <f>_xlfn.XLOOKUP(B27,'Restaurant Details'!A:A,'Restaurant Details'!B:B,"NA")</f>
        <v>Pizza Paradise</v>
      </c>
      <c r="I27" t="str">
        <f t="shared" si="0"/>
        <v>Saturday</v>
      </c>
    </row>
    <row r="28" spans="1:9" x14ac:dyDescent="0.35">
      <c r="A28" s="4" t="s">
        <v>53</v>
      </c>
      <c r="B28" s="4" t="s">
        <v>36</v>
      </c>
      <c r="C28" s="5">
        <v>46292</v>
      </c>
      <c r="D28" s="4" t="s">
        <v>17</v>
      </c>
      <c r="E28" s="4" t="s">
        <v>37</v>
      </c>
      <c r="F28" s="6">
        <v>41</v>
      </c>
      <c r="G28" s="6">
        <v>45</v>
      </c>
      <c r="H28" t="str">
        <f>_xlfn.XLOOKUP(B28,'Restaurant Details'!A:A,'Restaurant Details'!B:B,"NA")</f>
        <v>Domino's Pizza</v>
      </c>
      <c r="I28" t="str">
        <f t="shared" si="0"/>
        <v>Sunday</v>
      </c>
    </row>
    <row r="29" spans="1:9" x14ac:dyDescent="0.35">
      <c r="A29" s="4" t="s">
        <v>54</v>
      </c>
      <c r="B29" s="4" t="s">
        <v>20</v>
      </c>
      <c r="C29" s="5">
        <v>46293</v>
      </c>
      <c r="D29" s="4" t="s">
        <v>21</v>
      </c>
      <c r="E29" s="4" t="s">
        <v>22</v>
      </c>
      <c r="F29" s="6">
        <v>39</v>
      </c>
      <c r="G29" s="6">
        <v>40</v>
      </c>
      <c r="H29" t="str">
        <f>_xlfn.XLOOKUP(B29,'Restaurant Details'!A:A,'Restaurant Details'!B:B,"NA")</f>
        <v>Cafe Delhi Heights</v>
      </c>
      <c r="I29" t="str">
        <f t="shared" si="0"/>
        <v>Monday</v>
      </c>
    </row>
    <row r="30" spans="1:9" x14ac:dyDescent="0.35">
      <c r="A30" s="4" t="s">
        <v>55</v>
      </c>
      <c r="B30" s="4" t="s">
        <v>8</v>
      </c>
      <c r="C30" s="5">
        <v>46294</v>
      </c>
      <c r="D30" s="4" t="s">
        <v>9</v>
      </c>
      <c r="E30" s="4" t="s">
        <v>67</v>
      </c>
      <c r="F30" s="6">
        <v>33</v>
      </c>
      <c r="G30" s="6">
        <v>35</v>
      </c>
      <c r="H30" t="str">
        <f>_xlfn.XLOOKUP(B30,'Restaurant Details'!A:A,'Restaurant Details'!B:B,"NA")</f>
        <v>Burger Singh</v>
      </c>
      <c r="I30" t="str">
        <f t="shared" si="0"/>
        <v>Tuesday</v>
      </c>
    </row>
    <row r="31" spans="1:9" x14ac:dyDescent="0.35">
      <c r="A31" s="4" t="s">
        <v>56</v>
      </c>
      <c r="B31" s="4" t="s">
        <v>25</v>
      </c>
      <c r="C31" s="5">
        <v>46295</v>
      </c>
      <c r="D31" s="4" t="s">
        <v>13</v>
      </c>
      <c r="E31" s="4" t="s">
        <v>26</v>
      </c>
      <c r="F31" s="6">
        <v>47</v>
      </c>
      <c r="G31" s="6">
        <v>50</v>
      </c>
      <c r="H31" t="str">
        <f>_xlfn.XLOOKUP(B31,'Restaurant Details'!A:A,'Restaurant Details'!B:B,"NA")</f>
        <v>The Chinese Wok</v>
      </c>
      <c r="I31" t="str">
        <f t="shared" si="0"/>
        <v>Wednesday</v>
      </c>
    </row>
    <row r="32" spans="1:9" x14ac:dyDescent="0.35">
      <c r="A32" s="4" t="s">
        <v>57</v>
      </c>
      <c r="B32" s="4" t="s">
        <v>28</v>
      </c>
      <c r="C32" s="5">
        <v>46296</v>
      </c>
      <c r="D32" s="4" t="s">
        <v>17</v>
      </c>
      <c r="E32" s="4" t="s">
        <v>29</v>
      </c>
      <c r="F32" s="6">
        <v>37</v>
      </c>
      <c r="G32" s="6">
        <v>40</v>
      </c>
      <c r="H32" t="str">
        <f>_xlfn.XLOOKUP(B32,'Restaurant Details'!A:A,'Restaurant Details'!B:B,"NA")</f>
        <v>Wow! Momo</v>
      </c>
      <c r="I32" t="str">
        <f t="shared" si="0"/>
        <v>Thursday</v>
      </c>
    </row>
    <row r="33" spans="1:9" x14ac:dyDescent="0.35">
      <c r="A33" s="4" t="s">
        <v>58</v>
      </c>
      <c r="B33" s="4" t="s">
        <v>12</v>
      </c>
      <c r="C33" s="5">
        <v>46297</v>
      </c>
      <c r="D33" s="4" t="s">
        <v>21</v>
      </c>
      <c r="E33" s="4" t="s">
        <v>26</v>
      </c>
      <c r="F33" s="6">
        <v>34</v>
      </c>
      <c r="G33" s="6">
        <v>35</v>
      </c>
      <c r="H33" t="str">
        <f>_xlfn.XLOOKUP(B33,'Restaurant Details'!A:A,'Restaurant Details'!B:B,"NA")</f>
        <v>Biryani Blues</v>
      </c>
      <c r="I33" t="str">
        <f t="shared" si="0"/>
        <v>Friday</v>
      </c>
    </row>
    <row r="34" spans="1:9" x14ac:dyDescent="0.35">
      <c r="A34" s="4" t="s">
        <v>59</v>
      </c>
      <c r="B34" s="4" t="s">
        <v>32</v>
      </c>
      <c r="C34" s="5">
        <v>46298</v>
      </c>
      <c r="D34" s="4" t="s">
        <v>9</v>
      </c>
      <c r="E34" s="4" t="s">
        <v>33</v>
      </c>
      <c r="F34" s="6">
        <v>29</v>
      </c>
      <c r="G34" s="6">
        <v>30</v>
      </c>
      <c r="H34" t="str">
        <f>_xlfn.XLOOKUP(B34,'Restaurant Details'!A:A,'Restaurant Details'!B:B,"NA")</f>
        <v>Subway</v>
      </c>
      <c r="I34" t="str">
        <f t="shared" si="0"/>
        <v>Saturday</v>
      </c>
    </row>
    <row r="35" spans="1:9" x14ac:dyDescent="0.35">
      <c r="A35" s="4" t="s">
        <v>60</v>
      </c>
      <c r="B35" s="4" t="s">
        <v>16</v>
      </c>
      <c r="C35" s="5">
        <v>46299</v>
      </c>
      <c r="D35" s="4" t="s">
        <v>13</v>
      </c>
      <c r="E35" s="4" t="s">
        <v>14</v>
      </c>
      <c r="F35" s="6">
        <v>31</v>
      </c>
      <c r="G35" s="6">
        <v>30</v>
      </c>
      <c r="H35" t="str">
        <f>_xlfn.XLOOKUP(B35,'Restaurant Details'!A:A,'Restaurant Details'!B:B,"NA")</f>
        <v>Pizza Paradise</v>
      </c>
      <c r="I35" t="str">
        <f t="shared" si="0"/>
        <v>Sunday</v>
      </c>
    </row>
    <row r="36" spans="1:9" x14ac:dyDescent="0.35">
      <c r="A36" s="4" t="s">
        <v>61</v>
      </c>
      <c r="B36" s="4" t="s">
        <v>36</v>
      </c>
      <c r="C36" s="5">
        <v>46300</v>
      </c>
      <c r="D36" s="4" t="s">
        <v>17</v>
      </c>
      <c r="E36" s="4" t="s">
        <v>67</v>
      </c>
      <c r="F36" s="6">
        <v>43</v>
      </c>
      <c r="G36" s="6">
        <v>45</v>
      </c>
      <c r="H36" t="str">
        <f>_xlfn.XLOOKUP(B36,'Restaurant Details'!A:A,'Restaurant Details'!B:B,"NA")</f>
        <v>Domino's Pizza</v>
      </c>
      <c r="I36" t="str">
        <f t="shared" si="0"/>
        <v>Monday</v>
      </c>
    </row>
    <row r="37" spans="1:9" x14ac:dyDescent="0.35">
      <c r="A37" s="4" t="s">
        <v>62</v>
      </c>
      <c r="B37" s="4" t="s">
        <v>20</v>
      </c>
      <c r="C37" s="5">
        <v>46301</v>
      </c>
      <c r="D37" s="4" t="s">
        <v>21</v>
      </c>
      <c r="E37" s="4" t="s">
        <v>22</v>
      </c>
      <c r="F37" s="6">
        <v>36</v>
      </c>
      <c r="G37" s="6">
        <v>40</v>
      </c>
      <c r="H37" t="str">
        <f>_xlfn.XLOOKUP(B37,'Restaurant Details'!A:A,'Restaurant Details'!B:B,"NA")</f>
        <v>Cafe Delhi Heights</v>
      </c>
      <c r="I37" t="str">
        <f t="shared" si="0"/>
        <v>Tuesday</v>
      </c>
    </row>
    <row r="38" spans="1:9" x14ac:dyDescent="0.35">
      <c r="A38" s="4" t="s">
        <v>63</v>
      </c>
      <c r="B38" s="4" t="s">
        <v>8</v>
      </c>
      <c r="C38" s="5">
        <v>46302</v>
      </c>
      <c r="D38" s="4" t="s">
        <v>9</v>
      </c>
      <c r="E38" s="4" t="s">
        <v>10</v>
      </c>
      <c r="F38" s="6">
        <v>30</v>
      </c>
      <c r="G38" s="6">
        <v>35</v>
      </c>
      <c r="H38" t="str">
        <f>_xlfn.XLOOKUP(B38,'Restaurant Details'!A:A,'Restaurant Details'!B:B,"NA")</f>
        <v>Burger Singh</v>
      </c>
      <c r="I38" t="str">
        <f t="shared" si="0"/>
        <v>Wednesday</v>
      </c>
    </row>
    <row r="39" spans="1:9" x14ac:dyDescent="0.35">
      <c r="A39" s="4" t="s">
        <v>64</v>
      </c>
      <c r="B39" s="4" t="s">
        <v>25</v>
      </c>
      <c r="C39" s="5">
        <v>46303</v>
      </c>
      <c r="D39" s="4" t="s">
        <v>13</v>
      </c>
      <c r="E39" s="4" t="s">
        <v>26</v>
      </c>
      <c r="F39" s="6">
        <v>44</v>
      </c>
      <c r="G39" s="6">
        <v>45</v>
      </c>
      <c r="H39" t="str">
        <f>_xlfn.XLOOKUP(B39,'Restaurant Details'!A:A,'Restaurant Details'!B:B,"NA")</f>
        <v>The Chinese Wok</v>
      </c>
      <c r="I39" t="str">
        <f t="shared" si="0"/>
        <v>Thursday</v>
      </c>
    </row>
    <row r="40" spans="1:9" x14ac:dyDescent="0.35">
      <c r="A40" s="4" t="s">
        <v>65</v>
      </c>
      <c r="B40" s="4" t="s">
        <v>28</v>
      </c>
      <c r="C40" s="5">
        <v>46304</v>
      </c>
      <c r="D40" s="4" t="s">
        <v>17</v>
      </c>
      <c r="E40" s="4" t="s">
        <v>29</v>
      </c>
      <c r="F40" s="6">
        <v>35</v>
      </c>
      <c r="G40" s="6">
        <v>35</v>
      </c>
      <c r="H40" t="str">
        <f>_xlfn.XLOOKUP(B40,'Restaurant Details'!A:A,'Restaurant Details'!B:B,"NA")</f>
        <v>Wow! Momo</v>
      </c>
      <c r="I40" t="str">
        <f t="shared" si="0"/>
        <v>Friday</v>
      </c>
    </row>
    <row r="41" spans="1:9" x14ac:dyDescent="0.35">
      <c r="A41" s="4" t="s">
        <v>66</v>
      </c>
      <c r="B41" s="4" t="s">
        <v>12</v>
      </c>
      <c r="C41" s="5">
        <v>46305</v>
      </c>
      <c r="D41" s="4" t="s">
        <v>21</v>
      </c>
      <c r="E41" s="4" t="s">
        <v>67</v>
      </c>
      <c r="F41" s="6">
        <v>32</v>
      </c>
      <c r="G41" s="6">
        <v>35</v>
      </c>
      <c r="H41" t="str">
        <f>_xlfn.XLOOKUP(B41,'Restaurant Details'!A:A,'Restaurant Details'!B:B,"NA")</f>
        <v>Biryani Blues</v>
      </c>
      <c r="I41" t="str">
        <f t="shared" si="0"/>
        <v>Saturday</v>
      </c>
    </row>
    <row r="42" spans="1:9" x14ac:dyDescent="0.35">
      <c r="A42" s="4"/>
      <c r="B42" s="4"/>
      <c r="C42" s="5"/>
      <c r="D42" s="4"/>
      <c r="E42" s="4"/>
      <c r="F42" s="6">
        <f>AVERAGE(Table1[Delivery Time (min)])</f>
        <v>35.475000000000001</v>
      </c>
      <c r="G42" s="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5BE61-CD34-4E4C-9010-EAB979C06D73}">
  <dimension ref="A1:B9"/>
  <sheetViews>
    <sheetView workbookViewId="0">
      <selection activeCell="C15" sqref="C15"/>
    </sheetView>
  </sheetViews>
  <sheetFormatPr defaultRowHeight="14.5" x14ac:dyDescent="0.35"/>
  <cols>
    <col min="1" max="1" width="12.1796875" bestFit="1" customWidth="1"/>
    <col min="2" max="2" width="15.81640625" bestFit="1" customWidth="1"/>
  </cols>
  <sheetData>
    <row r="1" spans="1:2" x14ac:dyDescent="0.35">
      <c r="A1" s="2" t="s">
        <v>1</v>
      </c>
      <c r="B1" s="2" t="s">
        <v>68</v>
      </c>
    </row>
    <row r="2" spans="1:2" x14ac:dyDescent="0.35">
      <c r="A2" s="4" t="s">
        <v>8</v>
      </c>
      <c r="B2" s="4" t="s">
        <v>69</v>
      </c>
    </row>
    <row r="3" spans="1:2" x14ac:dyDescent="0.35">
      <c r="A3" s="4" t="s">
        <v>16</v>
      </c>
      <c r="B3" s="4" t="s">
        <v>70</v>
      </c>
    </row>
    <row r="4" spans="1:2" x14ac:dyDescent="0.35">
      <c r="A4" s="4" t="s">
        <v>12</v>
      </c>
      <c r="B4" s="4" t="s">
        <v>71</v>
      </c>
    </row>
    <row r="5" spans="1:2" x14ac:dyDescent="0.35">
      <c r="A5" s="4" t="s">
        <v>25</v>
      </c>
      <c r="B5" s="4" t="s">
        <v>72</v>
      </c>
    </row>
    <row r="6" spans="1:2" x14ac:dyDescent="0.35">
      <c r="A6" s="4" t="s">
        <v>20</v>
      </c>
      <c r="B6" s="4" t="s">
        <v>73</v>
      </c>
    </row>
    <row r="7" spans="1:2" x14ac:dyDescent="0.35">
      <c r="A7" s="4" t="s">
        <v>28</v>
      </c>
      <c r="B7" s="4" t="s">
        <v>74</v>
      </c>
    </row>
    <row r="8" spans="1:2" x14ac:dyDescent="0.35">
      <c r="A8" s="4" t="s">
        <v>32</v>
      </c>
      <c r="B8" s="4" t="s">
        <v>75</v>
      </c>
    </row>
    <row r="9" spans="1:2" x14ac:dyDescent="0.35">
      <c r="A9" s="4" t="s">
        <v>36</v>
      </c>
      <c r="B9" s="4"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846C3-B707-49DC-B7EF-8D23DC574F5A}">
  <dimension ref="A3:C29"/>
  <sheetViews>
    <sheetView workbookViewId="0">
      <selection activeCell="C7" sqref="C7"/>
    </sheetView>
  </sheetViews>
  <sheetFormatPr defaultRowHeight="14.5" x14ac:dyDescent="0.35"/>
  <cols>
    <col min="1" max="1" width="14.7265625" bestFit="1" customWidth="1"/>
    <col min="2" max="2" width="15.1796875" bestFit="1" customWidth="1"/>
    <col min="3" max="3" width="23" bestFit="1" customWidth="1"/>
  </cols>
  <sheetData>
    <row r="3" spans="1:3" x14ac:dyDescent="0.35">
      <c r="A3" s="8" t="s">
        <v>79</v>
      </c>
      <c r="B3" t="s">
        <v>81</v>
      </c>
      <c r="C3" t="s">
        <v>82</v>
      </c>
    </row>
    <row r="4" spans="1:3" x14ac:dyDescent="0.35">
      <c r="A4" s="9" t="s">
        <v>9</v>
      </c>
      <c r="B4" s="10">
        <v>10</v>
      </c>
      <c r="C4" s="10">
        <v>310</v>
      </c>
    </row>
    <row r="5" spans="1:3" x14ac:dyDescent="0.35">
      <c r="A5" s="9" t="s">
        <v>21</v>
      </c>
      <c r="B5" s="10">
        <v>10</v>
      </c>
      <c r="C5" s="10">
        <v>370</v>
      </c>
    </row>
    <row r="6" spans="1:3" x14ac:dyDescent="0.35">
      <c r="A6" s="9" t="s">
        <v>17</v>
      </c>
      <c r="B6" s="10">
        <v>10</v>
      </c>
      <c r="C6" s="10">
        <v>400</v>
      </c>
    </row>
    <row r="7" spans="1:3" x14ac:dyDescent="0.35">
      <c r="A7" s="9" t="s">
        <v>13</v>
      </c>
      <c r="B7" s="10">
        <v>10</v>
      </c>
      <c r="C7" s="10">
        <v>405</v>
      </c>
    </row>
    <row r="8" spans="1:3" x14ac:dyDescent="0.35">
      <c r="A8" s="9" t="s">
        <v>80</v>
      </c>
      <c r="B8" s="10">
        <v>40</v>
      </c>
      <c r="C8" s="10">
        <v>1485</v>
      </c>
    </row>
    <row r="18" spans="1:2" x14ac:dyDescent="0.35">
      <c r="A18" t="s">
        <v>81</v>
      </c>
    </row>
    <row r="19" spans="1:2" x14ac:dyDescent="0.35">
      <c r="A19" s="10">
        <v>40</v>
      </c>
    </row>
    <row r="25" spans="1:2" x14ac:dyDescent="0.35">
      <c r="A25" s="8" t="s">
        <v>79</v>
      </c>
      <c r="B25" t="s">
        <v>81</v>
      </c>
    </row>
    <row r="26" spans="1:2" x14ac:dyDescent="0.35">
      <c r="A26" s="9" t="s">
        <v>71</v>
      </c>
      <c r="B26" s="10">
        <v>6</v>
      </c>
    </row>
    <row r="27" spans="1:2" x14ac:dyDescent="0.35">
      <c r="A27" s="9" t="s">
        <v>69</v>
      </c>
      <c r="B27" s="10">
        <v>6</v>
      </c>
    </row>
    <row r="28" spans="1:2" x14ac:dyDescent="0.35">
      <c r="A28" s="9" t="s">
        <v>72</v>
      </c>
      <c r="B28" s="10">
        <v>5</v>
      </c>
    </row>
    <row r="29" spans="1:2" x14ac:dyDescent="0.35">
      <c r="A29" s="9" t="s">
        <v>80</v>
      </c>
      <c r="B29" s="10">
        <v>17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CBED3-E823-425E-89CE-5591F3694131}">
  <dimension ref="A1"/>
  <sheetViews>
    <sheetView tabSelected="1" workbookViewId="0">
      <selection activeCell="N9" sqref="N9"/>
    </sheetView>
  </sheetViews>
  <sheetFormatPr defaultRowHeight="14.5" x14ac:dyDescent="0.35"/>
  <cols>
    <col min="1" max="16384" width="8.7265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Restaurant Details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Yamini Singh Tomar</dc:creator>
  <cp:lastModifiedBy>Yamini Singh Tomar</cp:lastModifiedBy>
  <dcterms:created xsi:type="dcterms:W3CDTF">2026-09-09T13:06:00Z</dcterms:created>
  <dcterms:modified xsi:type="dcterms:W3CDTF">2026-09-09T17:34:49Z</dcterms:modified>
</cp:coreProperties>
</file>