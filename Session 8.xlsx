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0" documentId="8_{F25EB554-B783-48E7-ADED-834109ACE81C}" xr6:coauthVersionLast="47" xr6:coauthVersionMax="47" xr10:uidLastSave="{00000000-0000-0000-0000-000000000000}"/>
  <bookViews>
    <workbookView xWindow="-110" yWindow="-110" windowWidth="19420" windowHeight="10300" activeTab="4" xr2:uid="{12DE05EA-F562-4054-A1D9-473BDE893908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2" i="5"/>
  <c r="E3" i="4"/>
  <c r="E4" i="4"/>
  <c r="E5" i="4"/>
  <c r="E6" i="4"/>
  <c r="E7" i="4"/>
  <c r="E8" i="4"/>
  <c r="E9" i="4"/>
  <c r="E10" i="4"/>
  <c r="E11" i="4"/>
  <c r="E2" i="4"/>
  <c r="D3" i="3"/>
  <c r="D4" i="3"/>
  <c r="D5" i="3"/>
  <c r="D6" i="3"/>
  <c r="D7" i="3"/>
  <c r="D8" i="3"/>
  <c r="D9" i="3"/>
  <c r="D10" i="3"/>
  <c r="D11" i="3"/>
  <c r="D2" i="3"/>
  <c r="C3" i="2"/>
  <c r="C4" i="2"/>
  <c r="C5" i="2"/>
  <c r="C6" i="2"/>
  <c r="C7" i="2"/>
  <c r="C8" i="2"/>
  <c r="C9" i="2"/>
  <c r="C10" i="2"/>
  <c r="C11" i="2"/>
  <c r="C2" i="2"/>
  <c r="C3" i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<sst xmlns="http://schemas.openxmlformats.org/spreadsheetml/2006/main" count="113" uniqueCount="86">
  <si>
    <t>Order ID</t>
  </si>
  <si>
    <t>Total Amount</t>
  </si>
  <si>
    <t>Order Type</t>
  </si>
  <si>
    <t>FD1001</t>
  </si>
  <si>
    <t>FD1002</t>
  </si>
  <si>
    <t>FD1003</t>
  </si>
  <si>
    <t>FD1004</t>
  </si>
  <si>
    <t>FD1005</t>
  </si>
  <si>
    <t>FD1006</t>
  </si>
  <si>
    <t>FD1007</t>
  </si>
  <si>
    <t>FD1008</t>
  </si>
  <si>
    <t>FD1009</t>
  </si>
  <si>
    <t>FD1010</t>
  </si>
  <si>
    <t>Runs</t>
  </si>
  <si>
    <t>Rating</t>
  </si>
  <si>
    <t>Star</t>
  </si>
  <si>
    <t>Pro</t>
  </si>
  <si>
    <t>Rising</t>
  </si>
  <si>
    <t>Newbie</t>
  </si>
  <si>
    <t>Player</t>
  </si>
  <si>
    <t>Total Runs</t>
  </si>
  <si>
    <t>Virat Kohli</t>
  </si>
  <si>
    <t>Rohit Sharma</t>
  </si>
  <si>
    <t>Shubman Gill</t>
  </si>
  <si>
    <t>Yashasvi Jaiswal</t>
  </si>
  <si>
    <t>Rinku Singh</t>
  </si>
  <si>
    <t>Suryakumar Yadav</t>
  </si>
  <si>
    <t>KL Rahul</t>
  </si>
  <si>
    <t>Ruturaj Gaikwad</t>
  </si>
  <si>
    <t>Tilak Varma</t>
  </si>
  <si>
    <t>Sanju Samson</t>
  </si>
  <si>
    <t>Ratings</t>
  </si>
  <si>
    <t>Payment Method</t>
  </si>
  <si>
    <t>Order Status</t>
  </si>
  <si>
    <t>FK1001</t>
  </si>
  <si>
    <t>Prepaid</t>
  </si>
  <si>
    <t>Delivered</t>
  </si>
  <si>
    <t>FK1002</t>
  </si>
  <si>
    <t>Cash on Delivery</t>
  </si>
  <si>
    <t>FK1003</t>
  </si>
  <si>
    <t>Cancelled</t>
  </si>
  <si>
    <t>FK1004</t>
  </si>
  <si>
    <t>FK1005</t>
  </si>
  <si>
    <t>FK1006</t>
  </si>
  <si>
    <t>Shipped</t>
  </si>
  <si>
    <t>FK1007</t>
  </si>
  <si>
    <t>FK1008</t>
  </si>
  <si>
    <t>FK1009</t>
  </si>
  <si>
    <t>FK1010</t>
  </si>
  <si>
    <t>Eligibility</t>
  </si>
  <si>
    <t>Song Name</t>
  </si>
  <si>
    <t>Artist</t>
  </si>
  <si>
    <t>isDownloaded</t>
  </si>
  <si>
    <t>isFavorite</t>
  </si>
  <si>
    <t>Blinding Lights</t>
  </si>
  <si>
    <t>The Weeknd</t>
  </si>
  <si>
    <t>Shape of You</t>
  </si>
  <si>
    <t>Ed Sheeran</t>
  </si>
  <si>
    <t>Perfect</t>
  </si>
  <si>
    <t>Levitating</t>
  </si>
  <si>
    <t>Dua Lipa</t>
  </si>
  <si>
    <t>As It Was</t>
  </si>
  <si>
    <t>Harry Styles</t>
  </si>
  <si>
    <t>Believer</t>
  </si>
  <si>
    <t>Imagine Dragons</t>
  </si>
  <si>
    <t>Heat Waves</t>
  </si>
  <si>
    <t>Glass Animals</t>
  </si>
  <si>
    <t>Stay</t>
  </si>
  <si>
    <t>Justin Bieber</t>
  </si>
  <si>
    <t>Senorita</t>
  </si>
  <si>
    <t>Shawn Mendes</t>
  </si>
  <si>
    <t>Calm Down</t>
  </si>
  <si>
    <t>Rema</t>
  </si>
  <si>
    <t>Access</t>
  </si>
  <si>
    <t>ZM1001</t>
  </si>
  <si>
    <t>ZM1002</t>
  </si>
  <si>
    <t>ZM1003</t>
  </si>
  <si>
    <t>ZM1004</t>
  </si>
  <si>
    <t>ZM1005</t>
  </si>
  <si>
    <t>ZM1006</t>
  </si>
  <si>
    <t>Flag</t>
  </si>
  <si>
    <t>Address</t>
  </si>
  <si>
    <t>Payment</t>
  </si>
  <si>
    <t>New</t>
  </si>
  <si>
    <t>Old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</si>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</sst>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/>
    <xf numFmtId="0" fontId="0" fillId="0" borderId="0" xfId="0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243E-E266-45FA-9641-CB0F0B1AF17F}">
  <dimension ref="A1:C11"/>
  <sheetViews>
    <sheetView workbookViewId="0">
      <selection activeCell="E11" sqref="E11"/>
    </sheetView>
  </sheetViews>
  <sheetFormatPr defaultRowHeight="14.5" x14ac:dyDescent="0.35"/>
  <cols>
    <col min="1" max="1" width="7.6328125" bestFit="1" customWidth="1"/>
    <col min="2" max="2" width="11.81640625" bestFit="1" customWidth="1"/>
    <col min="3" max="3" width="9.7265625" bestFit="1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x14ac:dyDescent="0.35">
      <c r="A2" s="6" t="s">
        <v>3</v>
      </c>
      <c r="B2" s="7">
        <v>350</v>
      </c>
      <c r="C2" s="8" t="str">
        <f>IF(B2&gt;=500,("High Value"),("Regular"))</f>
        <v>Regular</v>
      </c>
    </row>
    <row r="3" spans="1:3" x14ac:dyDescent="0.35">
      <c r="A3" s="6" t="s">
        <v>4</v>
      </c>
      <c r="B3" s="7">
        <v>750</v>
      </c>
      <c r="C3" s="8" t="str">
        <f t="shared" ref="C3:C11" si="0">IF(B3&gt;=500,("High Value"),("Regular"))</f>
        <v>High Value</v>
      </c>
    </row>
    <row r="4" spans="1:3" x14ac:dyDescent="0.35">
      <c r="A4" s="6" t="s">
        <v>5</v>
      </c>
      <c r="B4" s="7">
        <v>499</v>
      </c>
      <c r="C4" s="8" t="str">
        <f t="shared" si="0"/>
        <v>Regular</v>
      </c>
    </row>
    <row r="5" spans="1:3" x14ac:dyDescent="0.35">
      <c r="A5" s="6" t="s">
        <v>6</v>
      </c>
      <c r="B5" s="7">
        <v>1200</v>
      </c>
      <c r="C5" s="8" t="str">
        <f t="shared" si="0"/>
        <v>High Value</v>
      </c>
    </row>
    <row r="6" spans="1:3" x14ac:dyDescent="0.35">
      <c r="A6" s="6" t="s">
        <v>7</v>
      </c>
      <c r="B6" s="7">
        <v>500</v>
      </c>
      <c r="C6" s="8" t="str">
        <f t="shared" si="0"/>
        <v>High Value</v>
      </c>
    </row>
    <row r="7" spans="1:3" x14ac:dyDescent="0.35">
      <c r="A7" s="6" t="s">
        <v>8</v>
      </c>
      <c r="B7" s="7">
        <v>275</v>
      </c>
      <c r="C7" s="8" t="str">
        <f t="shared" si="0"/>
        <v>Regular</v>
      </c>
    </row>
    <row r="8" spans="1:3" x14ac:dyDescent="0.35">
      <c r="A8" s="6" t="s">
        <v>9</v>
      </c>
      <c r="B8" s="7">
        <v>890</v>
      </c>
      <c r="C8" s="8" t="str">
        <f t="shared" si="0"/>
        <v>High Value</v>
      </c>
    </row>
    <row r="9" spans="1:3" x14ac:dyDescent="0.35">
      <c r="A9" s="6" t="s">
        <v>10</v>
      </c>
      <c r="B9" s="7">
        <v>450</v>
      </c>
      <c r="C9" s="8" t="str">
        <f t="shared" si="0"/>
        <v>Regular</v>
      </c>
    </row>
    <row r="10" spans="1:3" x14ac:dyDescent="0.35">
      <c r="A10" s="6" t="s">
        <v>11</v>
      </c>
      <c r="B10" s="7">
        <v>650</v>
      </c>
      <c r="C10" s="8" t="str">
        <f t="shared" si="0"/>
        <v>High Value</v>
      </c>
    </row>
    <row r="11" spans="1:3" x14ac:dyDescent="0.35">
      <c r="A11" s="6" t="s">
        <v>12</v>
      </c>
      <c r="B11" s="7">
        <v>300</v>
      </c>
      <c r="C11" s="8" t="str">
        <f t="shared" si="0"/>
        <v>Regular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FE99-90EC-4675-8BFD-273D3DDE096E}">
  <dimension ref="A1:H11"/>
  <sheetViews>
    <sheetView zoomScale="115" zoomScaleNormal="115" workbookViewId="0">
      <selection activeCell="E5" sqref="E5"/>
    </sheetView>
  </sheetViews>
  <sheetFormatPr defaultRowHeight="14.5" x14ac:dyDescent="0.35"/>
  <cols>
    <col min="1" max="1" width="18.7265625" bestFit="1" customWidth="1"/>
    <col min="2" max="2" width="14.26953125" bestFit="1" customWidth="1"/>
    <col min="7" max="7" width="11.26953125" customWidth="1"/>
  </cols>
  <sheetData>
    <row r="1" spans="1:8" x14ac:dyDescent="0.35">
      <c r="A1" s="10" t="s">
        <v>19</v>
      </c>
      <c r="B1" s="11" t="s">
        <v>20</v>
      </c>
      <c r="C1" s="12" t="s">
        <v>31</v>
      </c>
      <c r="G1" s="4" t="s">
        <v>13</v>
      </c>
      <c r="H1" s="1" t="s">
        <v>14</v>
      </c>
    </row>
    <row r="2" spans="1:8" x14ac:dyDescent="0.35">
      <c r="A2" s="6" t="s">
        <v>21</v>
      </c>
      <c r="B2" s="7">
        <v>1250</v>
      </c>
      <c r="C2" s="8" t="str">
        <f>IF(B2&gt;=$G$2,("Star"),IF(B2&gt;=$G$3,("Pro"),IF(B2&gt;=$G$4,("Rising"),IF(B2&lt;$G$5,("Newbie")))))</f>
        <v>Star</v>
      </c>
      <c r="G2" s="3">
        <v>1000</v>
      </c>
      <c r="H2" s="2" t="s">
        <v>15</v>
      </c>
    </row>
    <row r="3" spans="1:8" x14ac:dyDescent="0.35">
      <c r="A3" s="6" t="s">
        <v>22</v>
      </c>
      <c r="B3" s="7">
        <v>850</v>
      </c>
      <c r="C3" s="8" t="str">
        <f t="shared" ref="C3:C11" si="0">IF(B3&gt;=$G$2,("Star"),IF(B3&gt;=$G$3,("Pro"),IF(B3&gt;=$G$4,("Rising"),IF(B3&lt;$G$5,("Newbie")))))</f>
        <v>Pro</v>
      </c>
      <c r="G3" s="3">
        <v>700</v>
      </c>
      <c r="H3" s="2" t="s">
        <v>16</v>
      </c>
    </row>
    <row r="4" spans="1:8" x14ac:dyDescent="0.35">
      <c r="A4" s="6" t="s">
        <v>23</v>
      </c>
      <c r="B4" s="7">
        <v>680</v>
      </c>
      <c r="C4" s="8" t="str">
        <f t="shared" si="0"/>
        <v>Rising</v>
      </c>
      <c r="G4" s="3">
        <v>400</v>
      </c>
      <c r="H4" s="2" t="s">
        <v>17</v>
      </c>
    </row>
    <row r="5" spans="1:8" x14ac:dyDescent="0.35">
      <c r="A5" s="6" t="s">
        <v>24</v>
      </c>
      <c r="B5" s="7">
        <v>450</v>
      </c>
      <c r="C5" s="8" t="str">
        <f t="shared" si="0"/>
        <v>Rising</v>
      </c>
      <c r="G5" s="3">
        <v>400</v>
      </c>
      <c r="H5" s="2" t="s">
        <v>18</v>
      </c>
    </row>
    <row r="6" spans="1:8" x14ac:dyDescent="0.35">
      <c r="A6" s="6" t="s">
        <v>25</v>
      </c>
      <c r="B6" s="7">
        <v>320</v>
      </c>
      <c r="C6" s="8" t="str">
        <f t="shared" si="0"/>
        <v>Newbie</v>
      </c>
    </row>
    <row r="7" spans="1:8" x14ac:dyDescent="0.35">
      <c r="A7" s="6" t="s">
        <v>26</v>
      </c>
      <c r="B7" s="7">
        <v>1050</v>
      </c>
      <c r="C7" s="8" t="str">
        <f t="shared" si="0"/>
        <v>Star</v>
      </c>
    </row>
    <row r="8" spans="1:8" x14ac:dyDescent="0.35">
      <c r="A8" s="6" t="s">
        <v>27</v>
      </c>
      <c r="B8" s="7">
        <v>720</v>
      </c>
      <c r="C8" s="8" t="str">
        <f t="shared" si="0"/>
        <v>Pro</v>
      </c>
    </row>
    <row r="9" spans="1:8" x14ac:dyDescent="0.35">
      <c r="A9" s="6" t="s">
        <v>28</v>
      </c>
      <c r="B9" s="7">
        <v>590</v>
      </c>
      <c r="C9" s="8" t="str">
        <f t="shared" si="0"/>
        <v>Rising</v>
      </c>
    </row>
    <row r="10" spans="1:8" x14ac:dyDescent="0.35">
      <c r="A10" s="6" t="s">
        <v>29</v>
      </c>
      <c r="B10" s="7">
        <v>380</v>
      </c>
      <c r="C10" s="8" t="str">
        <f t="shared" si="0"/>
        <v>Newbie</v>
      </c>
    </row>
    <row r="11" spans="1:8" x14ac:dyDescent="0.35">
      <c r="A11" s="6" t="s">
        <v>30</v>
      </c>
      <c r="B11" s="7">
        <v>990</v>
      </c>
      <c r="C11" s="8" t="str">
        <f t="shared" si="0"/>
        <v>Pro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5D3F-A024-4144-B8D6-917C9D5DA6A3}">
  <dimension ref="A1:D11"/>
  <sheetViews>
    <sheetView workbookViewId="0">
      <selection activeCell="E3" sqref="E3"/>
    </sheetView>
  </sheetViews>
  <sheetFormatPr defaultRowHeight="14.5" x14ac:dyDescent="0.35"/>
  <cols>
    <col min="1" max="1" width="7.6328125" bestFit="1" customWidth="1"/>
    <col min="2" max="2" width="14.90625" bestFit="1" customWidth="1"/>
    <col min="3" max="3" width="11.1796875" bestFit="1" customWidth="1"/>
    <col min="4" max="4" width="9.81640625" bestFit="1" customWidth="1"/>
  </cols>
  <sheetData>
    <row r="1" spans="1:4" x14ac:dyDescent="0.35">
      <c r="A1" s="1" t="s">
        <v>0</v>
      </c>
      <c r="B1" s="1" t="s">
        <v>32</v>
      </c>
      <c r="C1" s="1" t="s">
        <v>33</v>
      </c>
      <c r="D1" s="9" t="s">
        <v>49</v>
      </c>
    </row>
    <row r="2" spans="1:4" x14ac:dyDescent="0.35">
      <c r="A2" s="2" t="s">
        <v>34</v>
      </c>
      <c r="B2" s="2" t="s">
        <v>35</v>
      </c>
      <c r="C2" s="2" t="s">
        <v>36</v>
      </c>
      <c r="D2" t="str">
        <f>IF(AND(B2="Prepaid",C2="Delivered"),"Eligible","Not Eligible")</f>
        <v>Eligible</v>
      </c>
    </row>
    <row r="3" spans="1:4" x14ac:dyDescent="0.35">
      <c r="A3" s="2" t="s">
        <v>37</v>
      </c>
      <c r="B3" s="2" t="s">
        <v>38</v>
      </c>
      <c r="C3" s="2" t="s">
        <v>36</v>
      </c>
      <c r="D3" t="str">
        <f t="shared" ref="D3:D11" si="0">IF(AND(B3="Prepaid",C3="Delivered"),"Eligible","Not Eligible")</f>
        <v>Not Eligible</v>
      </c>
    </row>
    <row r="4" spans="1:4" x14ac:dyDescent="0.35">
      <c r="A4" s="2" t="s">
        <v>39</v>
      </c>
      <c r="B4" s="2" t="s">
        <v>35</v>
      </c>
      <c r="C4" s="2" t="s">
        <v>40</v>
      </c>
      <c r="D4" t="str">
        <f t="shared" si="0"/>
        <v>Not Eligible</v>
      </c>
    </row>
    <row r="5" spans="1:4" x14ac:dyDescent="0.35">
      <c r="A5" s="2" t="s">
        <v>41</v>
      </c>
      <c r="B5" s="2" t="s">
        <v>35</v>
      </c>
      <c r="C5" s="2" t="s">
        <v>36</v>
      </c>
      <c r="D5" t="str">
        <f t="shared" si="0"/>
        <v>Eligible</v>
      </c>
    </row>
    <row r="6" spans="1:4" x14ac:dyDescent="0.35">
      <c r="A6" s="2" t="s">
        <v>42</v>
      </c>
      <c r="B6" s="2" t="s">
        <v>38</v>
      </c>
      <c r="C6" s="2" t="s">
        <v>40</v>
      </c>
      <c r="D6" t="str">
        <f t="shared" si="0"/>
        <v>Not Eligible</v>
      </c>
    </row>
    <row r="7" spans="1:4" x14ac:dyDescent="0.35">
      <c r="A7" s="2" t="s">
        <v>43</v>
      </c>
      <c r="B7" s="2" t="s">
        <v>35</v>
      </c>
      <c r="C7" s="2" t="s">
        <v>44</v>
      </c>
      <c r="D7" t="str">
        <f t="shared" si="0"/>
        <v>Not Eligible</v>
      </c>
    </row>
    <row r="8" spans="1:4" x14ac:dyDescent="0.35">
      <c r="A8" s="2" t="s">
        <v>45</v>
      </c>
      <c r="B8" s="2" t="s">
        <v>35</v>
      </c>
      <c r="C8" s="2" t="s">
        <v>36</v>
      </c>
      <c r="D8" t="str">
        <f t="shared" si="0"/>
        <v>Eligible</v>
      </c>
    </row>
    <row r="9" spans="1:4" x14ac:dyDescent="0.35">
      <c r="A9" s="2" t="s">
        <v>46</v>
      </c>
      <c r="B9" s="2" t="s">
        <v>38</v>
      </c>
      <c r="C9" s="2" t="s">
        <v>36</v>
      </c>
      <c r="D9" t="str">
        <f t="shared" si="0"/>
        <v>Not Eligible</v>
      </c>
    </row>
    <row r="10" spans="1:4" x14ac:dyDescent="0.35">
      <c r="A10" s="2" t="s">
        <v>47</v>
      </c>
      <c r="B10" s="2" t="s">
        <v>35</v>
      </c>
      <c r="C10" s="2" t="s">
        <v>40</v>
      </c>
      <c r="D10" t="str">
        <f t="shared" si="0"/>
        <v>Not Eligible</v>
      </c>
    </row>
    <row r="11" spans="1:4" x14ac:dyDescent="0.35">
      <c r="A11" s="2" t="s">
        <v>48</v>
      </c>
      <c r="B11" s="2" t="s">
        <v>35</v>
      </c>
      <c r="C11" s="2" t="s">
        <v>36</v>
      </c>
      <c r="D11" t="str">
        <f t="shared" si="0"/>
        <v>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376B-CFB9-4F66-A2A5-5D0BD561FB30}">
  <dimension ref="A1:E11"/>
  <sheetViews>
    <sheetView workbookViewId="0">
      <selection activeCell="G16" sqref="G16"/>
    </sheetView>
  </sheetViews>
  <sheetFormatPr defaultRowHeight="14.5" x14ac:dyDescent="0.35"/>
  <cols>
    <col min="1" max="1" width="12.36328125" bestFit="1" customWidth="1"/>
    <col min="2" max="2" width="20.36328125" customWidth="1"/>
    <col min="3" max="3" width="12.7265625" bestFit="1" customWidth="1"/>
    <col min="4" max="4" width="9" bestFit="1" customWidth="1"/>
    <col min="5" max="5" width="11.81640625" bestFit="1" customWidth="1"/>
  </cols>
  <sheetData>
    <row r="1" spans="1:5" x14ac:dyDescent="0.35">
      <c r="A1" s="10" t="s">
        <v>50</v>
      </c>
      <c r="B1" s="10" t="s">
        <v>51</v>
      </c>
      <c r="C1" s="10" t="s">
        <v>52</v>
      </c>
      <c r="D1" s="10" t="s">
        <v>53</v>
      </c>
      <c r="E1" s="12" t="s">
        <v>73</v>
      </c>
    </row>
    <row r="2" spans="1:5" x14ac:dyDescent="0.35">
      <c r="A2" s="6" t="s">
        <v>54</v>
      </c>
      <c r="B2" s="6" t="s">
        <v>55</v>
      </c>
      <c r="C2" s="6" t="b">
        <v>1</v>
      </c>
      <c r="D2" s="6" t="b">
        <v>0</v>
      </c>
      <c r="E2" s="8" t="str">
        <f>IF(OR(C2=TRUE,D2=TRUE),"Quick Access","Normal")</f>
        <v>Quick Access</v>
      </c>
    </row>
    <row r="3" spans="1:5" x14ac:dyDescent="0.35">
      <c r="A3" s="6" t="s">
        <v>56</v>
      </c>
      <c r="B3" s="6" t="s">
        <v>57</v>
      </c>
      <c r="C3" s="6" t="b">
        <v>0</v>
      </c>
      <c r="D3" s="6" t="b">
        <v>1</v>
      </c>
      <c r="E3" s="8" t="str">
        <f t="shared" ref="E3:E11" si="0">IF(OR(C3=TRUE,D3=TRUE),"Quick Access","Normal")</f>
        <v>Quick Access</v>
      </c>
    </row>
    <row r="4" spans="1:5" x14ac:dyDescent="0.35">
      <c r="A4" s="6" t="s">
        <v>58</v>
      </c>
      <c r="B4" s="6" t="s">
        <v>57</v>
      </c>
      <c r="C4" s="6" t="b">
        <v>1</v>
      </c>
      <c r="D4" s="6" t="b">
        <v>1</v>
      </c>
      <c r="E4" s="8" t="str">
        <f t="shared" si="0"/>
        <v>Quick Access</v>
      </c>
    </row>
    <row r="5" spans="1:5" x14ac:dyDescent="0.35">
      <c r="A5" s="6" t="s">
        <v>59</v>
      </c>
      <c r="B5" s="6" t="s">
        <v>60</v>
      </c>
      <c r="C5" s="6" t="b">
        <v>0</v>
      </c>
      <c r="D5" s="6" t="b">
        <v>0</v>
      </c>
      <c r="E5" s="8" t="str">
        <f t="shared" si="0"/>
        <v>Normal</v>
      </c>
    </row>
    <row r="6" spans="1:5" x14ac:dyDescent="0.35">
      <c r="A6" s="6" t="s">
        <v>61</v>
      </c>
      <c r="B6" s="6" t="s">
        <v>62</v>
      </c>
      <c r="C6" s="6" t="b">
        <v>1</v>
      </c>
      <c r="D6" s="6" t="b">
        <v>0</v>
      </c>
      <c r="E6" s="8" t="str">
        <f t="shared" si="0"/>
        <v>Quick Access</v>
      </c>
    </row>
    <row r="7" spans="1:5" x14ac:dyDescent="0.35">
      <c r="A7" s="6" t="s">
        <v>63</v>
      </c>
      <c r="B7" s="6" t="s">
        <v>64</v>
      </c>
      <c r="C7" s="6" t="b">
        <v>0</v>
      </c>
      <c r="D7" s="6" t="b">
        <v>1</v>
      </c>
      <c r="E7" s="8" t="str">
        <f t="shared" si="0"/>
        <v>Quick Access</v>
      </c>
    </row>
    <row r="8" spans="1:5" x14ac:dyDescent="0.35">
      <c r="A8" s="6" t="s">
        <v>65</v>
      </c>
      <c r="B8" s="6" t="s">
        <v>66</v>
      </c>
      <c r="C8" s="6" t="b">
        <v>0</v>
      </c>
      <c r="D8" s="6" t="b">
        <v>0</v>
      </c>
      <c r="E8" s="8" t="str">
        <f t="shared" si="0"/>
        <v>Normal</v>
      </c>
    </row>
    <row r="9" spans="1:5" x14ac:dyDescent="0.35">
      <c r="A9" s="6" t="s">
        <v>67</v>
      </c>
      <c r="B9" s="6" t="s">
        <v>68</v>
      </c>
      <c r="C9" s="6" t="b">
        <v>1</v>
      </c>
      <c r="D9" s="6" t="b">
        <v>1</v>
      </c>
      <c r="E9" s="8" t="str">
        <f t="shared" si="0"/>
        <v>Quick Access</v>
      </c>
    </row>
    <row r="10" spans="1:5" x14ac:dyDescent="0.35">
      <c r="A10" s="6" t="s">
        <v>69</v>
      </c>
      <c r="B10" s="6" t="s">
        <v>70</v>
      </c>
      <c r="C10" s="6" t="b">
        <v>0</v>
      </c>
      <c r="D10" s="6" t="b">
        <v>1</v>
      </c>
      <c r="E10" s="8" t="str">
        <f t="shared" si="0"/>
        <v>Quick Access</v>
      </c>
    </row>
    <row r="11" spans="1:5" x14ac:dyDescent="0.35">
      <c r="A11" s="6" t="s">
        <v>71</v>
      </c>
      <c r="B11" s="6" t="s">
        <v>72</v>
      </c>
      <c r="C11" s="6" t="b">
        <v>1</v>
      </c>
      <c r="D11" s="6" t="b">
        <v>0</v>
      </c>
      <c r="E11" s="8" t="str">
        <f t="shared" si="0"/>
        <v>Quick Access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A6B8-A7D7-4BE4-908D-08C5B27092B4}">
  <dimension ref="A1:D10"/>
  <sheetViews>
    <sheetView tabSelected="1" workbookViewId="0">
      <selection activeCell="F11" sqref="F11"/>
    </sheetView>
  </sheetViews>
  <sheetFormatPr defaultRowHeight="14.5" x14ac:dyDescent="0.35"/>
  <cols>
    <col min="2" max="2" width="18" customWidth="1"/>
    <col min="3" max="3" width="19.08984375" customWidth="1"/>
    <col min="4" max="4" width="12.90625" bestFit="1" customWidth="1"/>
  </cols>
  <sheetData>
    <row r="1" spans="1:4" x14ac:dyDescent="0.35">
      <c r="A1" s="10" t="s">
        <v>0</v>
      </c>
      <c r="B1" s="10" t="s">
        <v>81</v>
      </c>
      <c r="C1" s="10" t="s">
        <v>82</v>
      </c>
      <c r="D1" s="10" t="s">
        <v>80</v>
      </c>
    </row>
    <row r="2" spans="1:4" x14ac:dyDescent="0.35">
      <c r="A2" s="6" t="s">
        <v>74</v>
      </c>
      <c r="B2" s="6" t="s">
        <v>83</v>
      </c>
      <c r="C2" s="6" t="s">
        <v>35</v>
      </c>
      <c r="D2" s="6" t="str">
        <f>IF(_xlfn.XOR(B2="New",C2="Cash"),"Suspicious","Not Suspicious")</f>
        <v>Suspicious</v>
      </c>
    </row>
    <row r="3" spans="1:4" x14ac:dyDescent="0.35">
      <c r="A3" s="6" t="s">
        <v>75</v>
      </c>
      <c r="B3" s="6" t="s">
        <v>84</v>
      </c>
      <c r="C3" s="6" t="s">
        <v>85</v>
      </c>
      <c r="D3" s="6" t="str">
        <f t="shared" ref="D3:D7" si="0">IF(_xlfn.XOR(B3="New",C3="Cash"),"Suspicious","Not Suspicious")</f>
        <v>Suspicious</v>
      </c>
    </row>
    <row r="4" spans="1:4" x14ac:dyDescent="0.35">
      <c r="A4" s="6" t="s">
        <v>76</v>
      </c>
      <c r="B4" s="6" t="s">
        <v>83</v>
      </c>
      <c r="C4" s="6" t="s">
        <v>85</v>
      </c>
      <c r="D4" s="6" t="str">
        <f t="shared" si="0"/>
        <v>Not Suspicious</v>
      </c>
    </row>
    <row r="5" spans="1:4" x14ac:dyDescent="0.35">
      <c r="A5" s="6" t="s">
        <v>77</v>
      </c>
      <c r="B5" s="6" t="s">
        <v>84</v>
      </c>
      <c r="C5" s="6" t="s">
        <v>35</v>
      </c>
      <c r="D5" s="6" t="str">
        <f t="shared" si="0"/>
        <v>Not Suspicious</v>
      </c>
    </row>
    <row r="6" spans="1:4" x14ac:dyDescent="0.35">
      <c r="A6" s="6" t="s">
        <v>78</v>
      </c>
      <c r="B6" s="6" t="s">
        <v>83</v>
      </c>
      <c r="C6" s="6" t="s">
        <v>35</v>
      </c>
      <c r="D6" s="6" t="str">
        <f t="shared" si="0"/>
        <v>Suspicious</v>
      </c>
    </row>
    <row r="7" spans="1:4" x14ac:dyDescent="0.35">
      <c r="A7" s="6" t="s">
        <v>79</v>
      </c>
      <c r="B7" s="6" t="s">
        <v>84</v>
      </c>
      <c r="C7" s="6" t="s">
        <v>85</v>
      </c>
      <c r="D7" s="6" t="str">
        <f t="shared" si="0"/>
        <v>Suspicious</v>
      </c>
    </row>
    <row r="8" spans="1:4" x14ac:dyDescent="0.35">
      <c r="A8" s="13"/>
      <c r="B8" s="13"/>
      <c r="C8" s="13"/>
      <c r="D8" s="14"/>
    </row>
    <row r="9" spans="1:4" x14ac:dyDescent="0.35">
      <c r="A9" s="13"/>
      <c r="B9" s="13"/>
      <c r="C9" s="13"/>
      <c r="D9" s="14"/>
    </row>
    <row r="10" spans="1:4" x14ac:dyDescent="0.35">
      <c r="A10" s="13"/>
      <c r="B10" s="13"/>
      <c r="C10" s="13"/>
      <c r="D1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2026-08-11T18:01:58Z</dcterms:created>
  <dcterms:modified xsi:type="dcterms:W3CDTF">2026-08-11T18:54:51Z</dcterms:modified>
</cp:coreProperties>
</file>